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17f04be1850a603/Escritorio/TFGMEMORIAYPresentacion/"/>
    </mc:Choice>
  </mc:AlternateContent>
  <xr:revisionPtr revIDLastSave="2" documentId="13_ncr:1_{5879A87E-C78C-45DE-93B3-0539AB9D4E77}" xr6:coauthVersionLast="47" xr6:coauthVersionMax="47" xr10:uidLastSave="{30888E4C-C5DC-4D59-B661-A0CA7EDFFF61}"/>
  <bookViews>
    <workbookView xWindow="1930" yWindow="0" windowWidth="15910" windowHeight="11400" tabRatio="412" firstSheet="1" activeTab="4" xr2:uid="{00000000-000D-0000-FFFF-FFFF00000000}"/>
  </bookViews>
  <sheets>
    <sheet name="Inicio" sheetId="5" r:id="rId1"/>
    <sheet name="Introduccion" sheetId="6" r:id="rId2"/>
    <sheet name="Herramienta" sheetId="8" r:id="rId3"/>
    <sheet name="Solver" sheetId="4" state="hidden" r:id="rId4"/>
    <sheet name="Resultados" sheetId="9" r:id="rId5"/>
  </sheets>
  <functionGroups builtInGroupCount="19"/>
  <definedNames>
    <definedName name="CandadP1">Resultados!$M$9</definedName>
    <definedName name="CandadP2">Resultados!$M$11</definedName>
    <definedName name="Capaci1">Resultados!$N$18</definedName>
    <definedName name="Capaci2">Resultados!$N$20</definedName>
    <definedName name="Capaci3">Resultados!$N$22</definedName>
    <definedName name="Capaci4">Resultados!$N$24</definedName>
    <definedName name="CdadDBOP1">Resultados!$N$9</definedName>
    <definedName name="CdadDBOP2">Resultados!$N$11</definedName>
    <definedName name="ConstP1">Resultados!$F$20</definedName>
    <definedName name="ConstP2">Resultados!$F$22</definedName>
    <definedName name="ConsumoComb">Resultados!$F$14</definedName>
    <definedName name="Desti1">Resultados!$K$18</definedName>
    <definedName name="Desti2">Resultados!$K$20</definedName>
    <definedName name="Desti3">Resultados!$K$22</definedName>
    <definedName name="Desti4">Resultados!$K$24</definedName>
    <definedName name="ElecP1">Resultados!$F$16</definedName>
    <definedName name="ElecP2">Resultados!$F$18</definedName>
    <definedName name="HRTreten1">Resultados!$K$28</definedName>
    <definedName name="HRTreten2">Resultados!$K$29</definedName>
    <definedName name="HydrauRT1">Resultados!$K$28</definedName>
    <definedName name="HydrauRT2">Resultados!$K$30</definedName>
    <definedName name="LatC1">Resultados!$D$26</definedName>
    <definedName name="LatC2">Resultados!$D$27</definedName>
    <definedName name="LatC3">Resultados!$D$28</definedName>
    <definedName name="LatC4">Resultados!$D$29</definedName>
    <definedName name="LatP1">Resultados!$K$9</definedName>
    <definedName name="LatP2">Resultados!$K$11</definedName>
    <definedName name="LongC1">Resultados!$E$26</definedName>
    <definedName name="LongC2">Resultados!$E$27</definedName>
    <definedName name="LongC3">Resultados!$E$28</definedName>
    <definedName name="LongC4">Resultados!$E$29</definedName>
    <definedName name="LongP1">Resultados!$L$9</definedName>
    <definedName name="LongP2">Resultados!$L$11</definedName>
    <definedName name="Nviaje1">Resultados!$O$18</definedName>
    <definedName name="Nviaje2">Resultados!$O$20</definedName>
    <definedName name="Nviaje3">Resultados!$O$22</definedName>
    <definedName name="Nviaje4">Resultados!$O$24</definedName>
    <definedName name="SIoNO">Resultados!$F$3</definedName>
    <definedName name="solver_adj" localSheetId="4" hidden="1">Resultados!$O$6:$O$9,Resultados!$Q$6:$Q$9,Resultados!$Y$6:$Y$9,Resultados!$B$14:$C$14,Resultados!$B$24</definedName>
    <definedName name="solver_adj" localSheetId="3" hidden="1">Solver!$C$14:$D$15,Solver!$P$6:$P$9,Solver!$Q$6:$Q$9,Solver!$Z$6:$Z$9,Solver!$B$25,Solver!$P$25</definedName>
    <definedName name="solver_cvg" localSheetId="4" hidden="1">0.0001</definedName>
    <definedName name="solver_cvg" localSheetId="3" hidden="1">0.000000000001</definedName>
    <definedName name="solver_drv" localSheetId="4" hidden="1">2</definedName>
    <definedName name="solver_drv" localSheetId="3" hidden="1">2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5000</definedName>
    <definedName name="solver_lhs1" localSheetId="4" hidden="1">Resultados!$B$14</definedName>
    <definedName name="solver_lhs1" localSheetId="3" hidden="1">Solver!$C$14</definedName>
    <definedName name="solver_lhs10" localSheetId="4" hidden="1">Resultados!$Y$6:$Y$9</definedName>
    <definedName name="solver_lhs10" localSheetId="3" hidden="1">Solver!$P$6:$Q$9</definedName>
    <definedName name="solver_lhs11" localSheetId="3" hidden="1">Solver!$Z$6:$Z$9</definedName>
    <definedName name="solver_lhs12" localSheetId="3" hidden="1">Solver!$Z$6:$Z$9</definedName>
    <definedName name="solver_lhs13" localSheetId="3" hidden="1">Solver!$Z$6:$Z$9</definedName>
    <definedName name="solver_lhs14" localSheetId="3" hidden="1">Solver!$Z$6:$Z$9</definedName>
    <definedName name="solver_lhs15" localSheetId="3" hidden="1">Solver!$Z$6:$Z$9</definedName>
    <definedName name="solver_lhs16" localSheetId="3" hidden="1">Solver!$Q$6:$Q$9</definedName>
    <definedName name="solver_lhs17" localSheetId="3" hidden="1">Solver!$Z$6:$Z$9</definedName>
    <definedName name="solver_lhs18" localSheetId="3" hidden="1">Solver!#REF!</definedName>
    <definedName name="solver_lhs2" localSheetId="4" hidden="1">Resultados!$B$14</definedName>
    <definedName name="solver_lhs2" localSheetId="3" hidden="1">Solver!$C$14</definedName>
    <definedName name="solver_lhs3" localSheetId="4" hidden="1">Resultados!$C$14</definedName>
    <definedName name="solver_lhs3" localSheetId="3" hidden="1">Solver!$C$15</definedName>
    <definedName name="solver_lhs4" localSheetId="4" hidden="1">Resultados!$C$14</definedName>
    <definedName name="solver_lhs4" localSheetId="3" hidden="1">Solver!$C$15</definedName>
    <definedName name="solver_lhs5" localSheetId="4" hidden="1">Resultados!$O$6:$O$9</definedName>
    <definedName name="solver_lhs5" localSheetId="3" hidden="1">Solver!$D$14</definedName>
    <definedName name="solver_lhs6" localSheetId="4" hidden="1">Resultados!$O$6:$O$9</definedName>
    <definedName name="solver_lhs6" localSheetId="3" hidden="1">Solver!$D$14</definedName>
    <definedName name="solver_lhs7" localSheetId="4" hidden="1">Resultados!$Q$6:$Q$9</definedName>
    <definedName name="solver_lhs7" localSheetId="3" hidden="1">Solver!$D$15</definedName>
    <definedName name="solver_lhs8" localSheetId="4" hidden="1">Resultados!$Q$6:$Q$9</definedName>
    <definedName name="solver_lhs8" localSheetId="3" hidden="1">Solver!$D$15</definedName>
    <definedName name="solver_lhs9" localSheetId="4" hidden="1">Resultados!$Y$6:$Y$9</definedName>
    <definedName name="solver_lhs9" localSheetId="3" hidden="1">Solver!$P$6:$Q$9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10</definedName>
    <definedName name="solver_num" localSheetId="3" hidden="1">11</definedName>
    <definedName name="solver_nwt" localSheetId="4" hidden="1">1</definedName>
    <definedName name="solver_nwt" localSheetId="3" hidden="1">1</definedName>
    <definedName name="solver_opt" localSheetId="4" hidden="1">Resultados!$F$42</definedName>
    <definedName name="solver_opt" localSheetId="3" hidden="1">Solver!$F$45</definedName>
    <definedName name="solver_pre" localSheetId="4" hidden="1">0.000001</definedName>
    <definedName name="solver_pre" localSheetId="3" hidden="1">0.00000001</definedName>
    <definedName name="solver_rbv" localSheetId="4" hidden="1">1</definedName>
    <definedName name="solver_rbv" localSheetId="3" hidden="1">2</definedName>
    <definedName name="solver_rel1" localSheetId="4" hidden="1">1</definedName>
    <definedName name="solver_rel1" localSheetId="3" hidden="1">1</definedName>
    <definedName name="solver_rel10" localSheetId="4" hidden="1">3</definedName>
    <definedName name="solver_rel10" localSheetId="3" hidden="1">3</definedName>
    <definedName name="solver_rel11" localSheetId="3" hidden="1">1</definedName>
    <definedName name="solver_rel12" localSheetId="3" hidden="1">1</definedName>
    <definedName name="solver_rel13" localSheetId="3" hidden="1">1</definedName>
    <definedName name="solver_rel14" localSheetId="3" hidden="1">1</definedName>
    <definedName name="solver_rel15" localSheetId="3" hidden="1">3</definedName>
    <definedName name="solver_rel16" localSheetId="3" hidden="1">3</definedName>
    <definedName name="solver_rel17" localSheetId="3" hidden="1">1</definedName>
    <definedName name="solver_rel18" localSheetId="3" hidden="1">3</definedName>
    <definedName name="solver_rel2" localSheetId="4" hidden="1">3</definedName>
    <definedName name="solver_rel2" localSheetId="3" hidden="1">3</definedName>
    <definedName name="solver_rel3" localSheetId="4" hidden="1">1</definedName>
    <definedName name="solver_rel3" localSheetId="3" hidden="1">1</definedName>
    <definedName name="solver_rel4" localSheetId="4" hidden="1">3</definedName>
    <definedName name="solver_rel4" localSheetId="3" hidden="1">3</definedName>
    <definedName name="solver_rel5" localSheetId="4" hidden="1">1</definedName>
    <definedName name="solver_rel5" localSheetId="3" hidden="1">1</definedName>
    <definedName name="solver_rel6" localSheetId="4" hidden="1">3</definedName>
    <definedName name="solver_rel6" localSheetId="3" hidden="1">3</definedName>
    <definedName name="solver_rel7" localSheetId="4" hidden="1">1</definedName>
    <definedName name="solver_rel7" localSheetId="3" hidden="1">1</definedName>
    <definedName name="solver_rel8" localSheetId="4" hidden="1">3</definedName>
    <definedName name="solver_rel8" localSheetId="3" hidden="1">3</definedName>
    <definedName name="solver_rel9" localSheetId="4" hidden="1">1</definedName>
    <definedName name="solver_rel9" localSheetId="3" hidden="1">1</definedName>
    <definedName name="solver_rhs1" localSheetId="4" hidden="1">Resultados!$T$14</definedName>
    <definedName name="solver_rhs1" localSheetId="3" hidden="1">Solver!$V$14</definedName>
    <definedName name="solver_rhs10" localSheetId="4" hidden="1">0.1</definedName>
    <definedName name="solver_rhs10" localSheetId="3" hidden="1">Solver!$Q$13</definedName>
    <definedName name="solver_rhs11" localSheetId="3" hidden="1">1</definedName>
    <definedName name="solver_rhs12" localSheetId="3" hidden="1">1</definedName>
    <definedName name="solver_rhs13" localSheetId="3" hidden="1">1</definedName>
    <definedName name="solver_rhs14" localSheetId="3" hidden="1">1</definedName>
    <definedName name="solver_rhs15" localSheetId="3" hidden="1">0.1</definedName>
    <definedName name="solver_rhs16" localSheetId="3" hidden="1">Solver!$Q$13</definedName>
    <definedName name="solver_rhs17" localSheetId="3" hidden="1">1</definedName>
    <definedName name="solver_rhs18" localSheetId="3" hidden="1">Solver!$Q$13</definedName>
    <definedName name="solver_rhs2" localSheetId="4" hidden="1">Resultados!$T$13</definedName>
    <definedName name="solver_rhs2" localSheetId="3" hidden="1">Solver!$V$13</definedName>
    <definedName name="solver_rhs3" localSheetId="4" hidden="1">Resultados!$U$14</definedName>
    <definedName name="solver_rhs3" localSheetId="3" hidden="1">Solver!$V$14</definedName>
    <definedName name="solver_rhs4" localSheetId="4" hidden="1">Resultados!$U$13</definedName>
    <definedName name="solver_rhs4" localSheetId="3" hidden="1">Solver!$V$13</definedName>
    <definedName name="solver_rhs5" localSheetId="4" hidden="1">Resultados!$Q$14</definedName>
    <definedName name="solver_rhs5" localSheetId="3" hidden="1">Solver!$W$14</definedName>
    <definedName name="solver_rhs6" localSheetId="4" hidden="1">Resultados!$Q$13</definedName>
    <definedName name="solver_rhs6" localSheetId="3" hidden="1">Solver!$W$13</definedName>
    <definedName name="solver_rhs7" localSheetId="4" hidden="1">Resultados!$Q$14</definedName>
    <definedName name="solver_rhs7" localSheetId="3" hidden="1">Solver!$W$14</definedName>
    <definedName name="solver_rhs8" localSheetId="4" hidden="1">Resultados!$Q$13</definedName>
    <definedName name="solver_rhs8" localSheetId="3" hidden="1">Solver!$W$13</definedName>
    <definedName name="solver_rhs9" localSheetId="4" hidden="1">1</definedName>
    <definedName name="solver_rhs9" localSheetId="3" hidden="1">Solver!$Q$14</definedName>
    <definedName name="solver_rlx" localSheetId="4" hidden="1">1</definedName>
    <definedName name="solver_rlx" localSheetId="3" hidden="1">1</definedName>
    <definedName name="solver_rsd" localSheetId="4" hidden="1">0</definedName>
    <definedName name="solver_rsd" localSheetId="3" hidden="1">0</definedName>
    <definedName name="solver_scl" localSheetId="4" hidden="1">1</definedName>
    <definedName name="solver_scl" localSheetId="3" hidden="1">1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0</definedName>
    <definedName name="solver_tim" localSheetId="4" hidden="1">2147483647</definedName>
    <definedName name="solver_tim" localSheetId="3" hidden="1">300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  <definedName name="ValorFinal">Resultados!$F$9</definedName>
    <definedName name="VIDA1">Resultados!$L$18</definedName>
    <definedName name="VIDA2">Resultados!$L$20</definedName>
    <definedName name="VIDA3">Resultados!$L$22</definedName>
    <definedName name="VIDA4">Resultados!$L$24</definedName>
    <definedName name="VolP1">Resultados!$O$9</definedName>
    <definedName name="VolP2">Resultados!$O$11</definedName>
    <definedName name="VVuelta1">Resultados!$M$18</definedName>
    <definedName name="VVuelta2">Resultados!$M$20</definedName>
    <definedName name="VVuelta3">Resultados!$M$22</definedName>
    <definedName name="VVuelta4">Resultados!$M$24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4" l="1"/>
  <c r="J26" i="4"/>
  <c r="B29" i="4"/>
  <c r="L8" i="4" a="1"/>
  <c r="L8" i="4" l="1"/>
  <c r="H9" i="4"/>
  <c r="B6" i="4"/>
  <c r="F7" i="4"/>
  <c r="F9" i="4"/>
  <c r="F8" i="4"/>
  <c r="X7" i="4"/>
  <c r="X8" i="4"/>
  <c r="X9" i="4"/>
  <c r="X6" i="4"/>
  <c r="Q15" i="4"/>
  <c r="J7" i="4"/>
  <c r="J8" i="4"/>
  <c r="J9" i="4"/>
  <c r="J6" i="4"/>
  <c r="H7" i="4"/>
  <c r="H8" i="4"/>
  <c r="H6" i="4"/>
  <c r="F6" i="4"/>
  <c r="C7" i="4"/>
  <c r="C8" i="4"/>
  <c r="C9" i="4"/>
  <c r="C6" i="4"/>
  <c r="B7" i="4"/>
  <c r="B8" i="4"/>
  <c r="B9" i="4"/>
  <c r="V14" i="4"/>
  <c r="T7" i="4" l="1"/>
  <c r="V8" i="4"/>
  <c r="J17" i="4" l="1"/>
  <c r="E9" i="4" l="1"/>
  <c r="E6" i="4"/>
  <c r="B31" i="4"/>
  <c r="V7" i="4"/>
  <c r="AD7" i="4" s="1"/>
  <c r="N7" i="4"/>
  <c r="T6" i="4"/>
  <c r="N6" i="4" s="1"/>
  <c r="J10" i="4"/>
  <c r="B22" i="4" s="1"/>
  <c r="H10" i="4"/>
  <c r="L6" i="4" a="1"/>
  <c r="L9" i="4" a="1"/>
  <c r="L6" i="4" l="1"/>
  <c r="L9" i="4"/>
  <c r="V6" i="4"/>
  <c r="AD6" i="4" s="1"/>
  <c r="AH6" i="4" s="1"/>
  <c r="AB6" i="4" l="1"/>
  <c r="AG6" i="4" s="1"/>
  <c r="E7" i="4"/>
  <c r="E8" i="4"/>
  <c r="F10" i="4"/>
  <c r="W25" i="4"/>
  <c r="L7" i="4" a="1"/>
  <c r="L7" i="4" l="1"/>
  <c r="E14" i="4"/>
  <c r="B26" i="4" s="1"/>
  <c r="F14" i="4"/>
  <c r="F22" i="4" s="1"/>
  <c r="F15" i="4"/>
  <c r="AK6" i="4"/>
  <c r="E15" i="4"/>
  <c r="P26" i="4" s="1"/>
  <c r="F25" i="4" l="1"/>
  <c r="L10" i="4"/>
  <c r="AJ6" i="4"/>
  <c r="P27" i="4"/>
  <c r="P28" i="4" s="1"/>
  <c r="S23" i="4" s="1"/>
  <c r="J27" i="4"/>
  <c r="F42" i="4" s="1"/>
  <c r="W14" i="4"/>
  <c r="W13" i="4"/>
  <c r="V13" i="4"/>
  <c r="V9" i="4" l="1"/>
  <c r="AD9" i="4" s="1"/>
  <c r="AH9" i="4" s="1"/>
  <c r="T8" i="4"/>
  <c r="N8" i="4" s="1"/>
  <c r="T9" i="4"/>
  <c r="N9" i="4" s="1"/>
  <c r="AD8" i="4"/>
  <c r="AH8" i="4" s="1"/>
  <c r="N10" i="4" l="1"/>
  <c r="AB8" i="4"/>
  <c r="AG8" i="4" s="1"/>
  <c r="AJ8" i="4" s="1"/>
  <c r="AH7" i="4"/>
  <c r="AK7" i="4" s="1"/>
  <c r="AB7" i="4"/>
  <c r="AG7" i="4" s="1"/>
  <c r="AJ7" i="4" s="1"/>
  <c r="AB9" i="4"/>
  <c r="AG9" i="4" s="1"/>
  <c r="W27" i="4" l="1"/>
  <c r="F43" i="4" s="1"/>
  <c r="AJ9" i="4"/>
  <c r="F27" i="4"/>
  <c r="F40" i="4" s="1"/>
  <c r="I40" i="4" s="1"/>
  <c r="AK8" i="4"/>
  <c r="AK9" i="4" l="1"/>
  <c r="AL9" i="4" s="1"/>
  <c r="S25" i="4"/>
  <c r="S27" i="4" s="1"/>
  <c r="F41" i="4" s="1"/>
  <c r="I41" i="4" s="1"/>
  <c r="AL7" i="4"/>
  <c r="AL8" i="4"/>
  <c r="AL6" i="4"/>
  <c r="B38" i="4" l="1"/>
  <c r="F38" i="4" s="1"/>
  <c r="F45" i="4" l="1"/>
  <c r="I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9" authorId="0" shapeId="0" xr:uid="{5D847318-BDC0-0147-8A0F-DD17AC131751}">
      <text>
        <r>
          <rPr>
            <b/>
            <sz val="10"/>
            <color rgb="FF000000"/>
            <rFont val="Tahoma"/>
            <family val="2"/>
          </rPr>
          <t>Ayuda: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Introduzca la carga máxima útil que puede transportar el camión a la institución centralizada</t>
        </r>
      </text>
    </comment>
    <comment ref="F9" authorId="0" shapeId="0" xr:uid="{28ACEAB7-1BFB-B346-ADE9-A5DA7542B951}">
      <text>
        <r>
          <rPr>
            <b/>
            <sz val="10"/>
            <color rgb="FF000000"/>
            <rFont val="Tahoma"/>
            <family val="2"/>
          </rPr>
          <t xml:space="preserve">Ayuda:
</t>
        </r>
        <r>
          <rPr>
            <sz val="10"/>
            <color rgb="FF000000"/>
            <rFont val="Tahoma"/>
            <family val="2"/>
          </rPr>
          <t xml:space="preserve">Introduzca el peso bruto del camión vacio
</t>
        </r>
      </text>
    </comment>
    <comment ref="C14" authorId="0" shapeId="0" xr:uid="{9D1C2BF0-03C7-BA4D-BE06-6D266541E105}">
      <text>
        <r>
          <rPr>
            <b/>
            <sz val="10"/>
            <color rgb="FF000000"/>
            <rFont val="Tahoma"/>
            <family val="2"/>
          </rPr>
          <t>Descripción: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Identificación de los distintos clusters creados en el pre-tratamiento de datos</t>
        </r>
      </text>
    </comment>
    <comment ref="D14" authorId="0" shapeId="0" xr:uid="{076A7082-0354-C44B-9493-11B9DF7569F5}">
      <text>
        <r>
          <rPr>
            <b/>
            <sz val="10"/>
            <color rgb="FF000000"/>
            <rFont val="Calibri"/>
            <family val="2"/>
          </rPr>
          <t>Descripción: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Coordenada de latitud en decimales de los distintos clusters. Este sería la coordenada X
</t>
        </r>
      </text>
    </comment>
    <comment ref="E14" authorId="0" shapeId="0" xr:uid="{5FD45DF5-D80F-1A4F-85C7-1426B06D13E7}">
      <text>
        <r>
          <rPr>
            <b/>
            <sz val="10"/>
            <color rgb="FF000000"/>
            <rFont val="Calibri"/>
            <family val="2"/>
          </rPr>
          <t>Descripción: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Coordenada de longitud en decimales de los distintos clusters. Este sería la coordenada Y
</t>
        </r>
      </text>
    </comment>
    <comment ref="F14" authorId="0" shapeId="0" xr:uid="{B2D7EBDE-4A64-0244-8A83-43F8AFFD21E0}">
      <text>
        <r>
          <rPr>
            <b/>
            <sz val="10"/>
            <color rgb="FF000000"/>
            <rFont val="Calibri"/>
            <family val="2"/>
          </rPr>
          <t>Descripción: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Cantidad de lodos y residuos que produce cada cluster que posteriormente se llevara a la institución centralizada. La cantidad de cada cluster es la suma de la cantidad de las depuradoras o industrias agroalimentarias que pertenecen a dicho cluster. Las unidades son en metros cúbicos al año</t>
        </r>
      </text>
    </comment>
    <comment ref="G14" authorId="0" shapeId="0" xr:uid="{7262A910-5D0C-FE40-A2B1-81F8DC58FA12}">
      <text>
        <r>
          <rPr>
            <b/>
            <sz val="10"/>
            <color rgb="FF000000"/>
            <rFont val="Calibri"/>
            <family val="2"/>
          </rPr>
          <t>Descripción: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Cantidad de lodos y residuos que produce cada cluster que posteriormente se llevara a la institución centralizada. La cantidad de cada cluster es la suma de la cantidad de las depuradoras o industrias agroalimentarias que pertenecen a dicho cluster. En este caso, en toneladas al año
</t>
        </r>
      </text>
    </comment>
    <comment ref="H14" authorId="0" shapeId="0" xr:uid="{94D8C9E5-49AE-7B4E-8F70-5D2F534504CB}">
      <text>
        <r>
          <rPr>
            <b/>
            <sz val="10"/>
            <color rgb="FF000000"/>
            <rFont val="Calibri"/>
            <family val="2"/>
          </rPr>
          <t>Descripción: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Cantidad de DBO (demanda biológica de oxígeno), que significa la cantidad de materia órganica que posteriormente se utilizara para generar electricidad a traves de la combustión del metano. Las unidades son en toneladas de oxígeno al año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<sst xmlns="http://schemas.openxmlformats.org/spreadsheetml/2006/main" count="236" uniqueCount="161">
  <si>
    <t>DEP1</t>
  </si>
  <si>
    <t>DEP2</t>
  </si>
  <si>
    <t>Lat</t>
  </si>
  <si>
    <t>m3</t>
  </si>
  <si>
    <t>Min</t>
  </si>
  <si>
    <t>Max</t>
  </si>
  <si>
    <t>DEP3</t>
  </si>
  <si>
    <t>DEP4</t>
  </si>
  <si>
    <t>IDA</t>
  </si>
  <si>
    <t>VUELTA</t>
  </si>
  <si>
    <t>Kg</t>
  </si>
  <si>
    <t>kg</t>
  </si>
  <si>
    <t>Km</t>
  </si>
  <si>
    <t xml:space="preserve"> </t>
  </si>
  <si>
    <t>Total</t>
  </si>
  <si>
    <t>HRT1</t>
  </si>
  <si>
    <t>HRT2</t>
  </si>
  <si>
    <t>Datos Entrada</t>
  </si>
  <si>
    <t>Ubicacion Depuradoras</t>
  </si>
  <si>
    <t>Latitud</t>
  </si>
  <si>
    <t>Longitud</t>
  </si>
  <si>
    <t>Datos conversion</t>
  </si>
  <si>
    <t>Densidad Agua</t>
  </si>
  <si>
    <t>Densidad Lodo</t>
  </si>
  <si>
    <t>kg/l</t>
  </si>
  <si>
    <t>%</t>
  </si>
  <si>
    <t>Materia seca</t>
  </si>
  <si>
    <t>Consumo Combustible</t>
  </si>
  <si>
    <t>Viajes</t>
  </si>
  <si>
    <t>V IDA</t>
  </si>
  <si>
    <t>km/h</t>
  </si>
  <si>
    <t>V VUELTA</t>
  </si>
  <si>
    <t>Camion VACIO</t>
  </si>
  <si>
    <t>Capacidad</t>
  </si>
  <si>
    <t>TOTAL</t>
  </si>
  <si>
    <t>l/100km</t>
  </si>
  <si>
    <t>l/100 km</t>
  </si>
  <si>
    <t>l</t>
  </si>
  <si>
    <t>Datos restrictivos</t>
  </si>
  <si>
    <t>Vminima</t>
  </si>
  <si>
    <t>Vmaxima</t>
  </si>
  <si>
    <t>CargaMaxima</t>
  </si>
  <si>
    <t>CapacidadMinima</t>
  </si>
  <si>
    <t>Planta Tratamiento</t>
  </si>
  <si>
    <t>kg O2 / ano</t>
  </si>
  <si>
    <t>Dias</t>
  </si>
  <si>
    <t>Alfa</t>
  </si>
  <si>
    <t>MaxEficiencia</t>
  </si>
  <si>
    <t>Ubicacion Planta</t>
  </si>
  <si>
    <t>Latitud (x)</t>
  </si>
  <si>
    <t>Longitud(y)</t>
  </si>
  <si>
    <t>Planta 1</t>
  </si>
  <si>
    <t>Planta 2</t>
  </si>
  <si>
    <t>m3 / ano</t>
  </si>
  <si>
    <t>kg CH4</t>
  </si>
  <si>
    <t>kWh/kg CH4</t>
  </si>
  <si>
    <t>kWh/year</t>
  </si>
  <si>
    <t>kg CH4 / ano</t>
  </si>
  <si>
    <t>Venta Electricidad</t>
  </si>
  <si>
    <t>€/kWh</t>
  </si>
  <si>
    <t>Euros/ano</t>
  </si>
  <si>
    <t>Co</t>
  </si>
  <si>
    <t>Cmin</t>
  </si>
  <si>
    <t>euros/m3</t>
  </si>
  <si>
    <t>Euros</t>
  </si>
  <si>
    <t>Resultados</t>
  </si>
  <si>
    <t>HRTo</t>
  </si>
  <si>
    <t>ConsumoComb</t>
  </si>
  <si>
    <t>Euros/litros</t>
  </si>
  <si>
    <t>Funcion Objetivo</t>
  </si>
  <si>
    <t>Costes</t>
  </si>
  <si>
    <t>Periodo Explotacion</t>
  </si>
  <si>
    <t xml:space="preserve">años </t>
  </si>
  <si>
    <t>long</t>
  </si>
  <si>
    <t>kg/viaje</t>
  </si>
  <si>
    <t>Viaje/ano</t>
  </si>
  <si>
    <t>MMA(Masa maxima autorizada)</t>
  </si>
  <si>
    <t>Vuelta (l/km)</t>
  </si>
  <si>
    <t>IDA (l/km)</t>
  </si>
  <si>
    <t>Volumen Reactor1</t>
  </si>
  <si>
    <t xml:space="preserve">VR2 </t>
  </si>
  <si>
    <t>FactorEficiencia1</t>
  </si>
  <si>
    <t xml:space="preserve">FE2 </t>
  </si>
  <si>
    <t>EfficienR2</t>
  </si>
  <si>
    <t>EficienciaReactor1</t>
  </si>
  <si>
    <t xml:space="preserve">Costes construccion 1 </t>
  </si>
  <si>
    <t>CosIn2</t>
  </si>
  <si>
    <t>Coste Instalacion 1</t>
  </si>
  <si>
    <t>Destino</t>
  </si>
  <si>
    <t>Carga Util P</t>
  </si>
  <si>
    <t>Consumos P</t>
  </si>
  <si>
    <t>P</t>
  </si>
  <si>
    <t>ConsumoFinal P</t>
  </si>
  <si>
    <t>Viaje/año</t>
  </si>
  <si>
    <t>Distancia P</t>
  </si>
  <si>
    <t>Lodo + Residuos</t>
  </si>
  <si>
    <t>Lodos + Residuos</t>
  </si>
  <si>
    <t>% DBO transp</t>
  </si>
  <si>
    <t>L+R transp.</t>
  </si>
  <si>
    <t>DBO transp.</t>
  </si>
  <si>
    <t>Litros/anos</t>
  </si>
  <si>
    <t>kg /años</t>
  </si>
  <si>
    <t>DBO content (L+R)</t>
  </si>
  <si>
    <t>Kg O2/ano</t>
  </si>
  <si>
    <t>%Q(Caudal) transportado</t>
  </si>
  <si>
    <t>dias</t>
  </si>
  <si>
    <t xml:space="preserve">Cnstruccion Planta 2 </t>
  </si>
  <si>
    <t>Electricidad Planta 2</t>
  </si>
  <si>
    <t>Datos generales para ambas planta</t>
  </si>
  <si>
    <t>Construccion planta 1</t>
  </si>
  <si>
    <t>Construccion planta 2</t>
  </si>
  <si>
    <t>Gastos Combustible</t>
  </si>
  <si>
    <t xml:space="preserve">Densidad para la capacidad </t>
  </si>
  <si>
    <t>Metodología:</t>
  </si>
  <si>
    <t>Nombre</t>
  </si>
  <si>
    <t>Carga Máxima (Kg)</t>
  </si>
  <si>
    <t>Peso bruto del camión (Kg)</t>
  </si>
  <si>
    <t>Cantidad de lodo+Residuo (m3/año)</t>
  </si>
  <si>
    <t>Cantidad de lodo+Residuo (tn/año)</t>
  </si>
  <si>
    <t>Cantidad de DBO (tn O2 /año)</t>
  </si>
  <si>
    <t>Cluster 1</t>
  </si>
  <si>
    <t>Cluster 2</t>
  </si>
  <si>
    <t>Cluster 3</t>
  </si>
  <si>
    <t>Cluster 4</t>
  </si>
  <si>
    <t>PLANTA 1</t>
  </si>
  <si>
    <t>Longitud (Y)</t>
  </si>
  <si>
    <t>Latitud (X)</t>
  </si>
  <si>
    <t xml:space="preserve">PLANTA 2 </t>
  </si>
  <si>
    <t>%Lodo y residuo tranportado</t>
  </si>
  <si>
    <t>% DBO transportado</t>
  </si>
  <si>
    <t xml:space="preserve">Cluster 1 </t>
  </si>
  <si>
    <t>Capacidad (%)</t>
  </si>
  <si>
    <t>Velocidad IDA(Km/hora)</t>
  </si>
  <si>
    <t>Velocidad VUELTA(Km/hora)</t>
  </si>
  <si>
    <t>Destino(Planta 1 o 2)</t>
  </si>
  <si>
    <t xml:space="preserve">Planta 1 </t>
  </si>
  <si>
    <t xml:space="preserve">Tiempo de retención hidraulica (Días) </t>
  </si>
  <si>
    <t xml:space="preserve">     Instrucciones: </t>
  </si>
  <si>
    <t xml:space="preserve">                Objetivo:</t>
  </si>
  <si>
    <t>N de viajes</t>
  </si>
  <si>
    <t>Longitud(Y)</t>
  </si>
  <si>
    <t>Latitud(X)</t>
  </si>
  <si>
    <t xml:space="preserve">Construcción de la planta 2     --&gt; </t>
  </si>
  <si>
    <t xml:space="preserve">Construcción de la planta 1     --&gt; </t>
  </si>
  <si>
    <t xml:space="preserve">Venta electricidad planta 2     --&gt; </t>
  </si>
  <si>
    <t xml:space="preserve">Venta electricidad planta 1    --&gt; </t>
  </si>
  <si>
    <t>Consumo combustible total --&gt;</t>
  </si>
  <si>
    <t xml:space="preserve">               Beneficio neto  --&gt; </t>
  </si>
  <si>
    <t>El solver encontro solución -&gt;</t>
  </si>
  <si>
    <t>SI</t>
  </si>
  <si>
    <t xml:space="preserve">   Pre-tratamiento de datos de entrada: </t>
  </si>
  <si>
    <t>KEuros</t>
  </si>
  <si>
    <t>kilo euros</t>
  </si>
  <si>
    <t>VentaElectricidadP1</t>
  </si>
  <si>
    <t>VentaElectricidadP2</t>
  </si>
  <si>
    <t>Electricidad Planta 1</t>
  </si>
  <si>
    <t>Volumen del reactor (m3)</t>
  </si>
  <si>
    <t>------------------------------------------------------------------------------------------------------------------------------------------------------------------------------------------------</t>
  </si>
  <si>
    <t>KEuros/año</t>
  </si>
  <si>
    <t>Litros / año</t>
  </si>
  <si>
    <t>Kilo euros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</si>
</sst>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&quot;$&quot;#,##0.00"/>
    <numFmt numFmtId="166" formatCode="#,##0.0"/>
    <numFmt numFmtId="167" formatCode="#,##0\ &quot;€&quot;"/>
    <numFmt numFmtId="168" formatCode="&quot;$&quot;#,##0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2121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7F7F7F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2"/>
      <color theme="0" tint="-0.34998626667073579"/>
      <name val="Calibri (Body)"/>
    </font>
    <font>
      <sz val="12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sz val="11"/>
      <color theme="9" tint="-0.249977111117893"/>
      <name val="Calibri (Body)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alibri (Body)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" fillId="0" borderId="0"/>
  </cellStyleXfs>
  <cellXfs count="104">
    <xf numFmtId="0" fontId="0" fillId="0" borderId="0" xfId="0"/>
    <xf numFmtId="0" fontId="2" fillId="9" borderId="0" xfId="2" applyFill="1"/>
    <xf numFmtId="0" fontId="2" fillId="0" borderId="0" xfId="2"/>
    <xf numFmtId="0" fontId="9" fillId="9" borderId="0" xfId="2" applyFont="1" applyFill="1" applyAlignment="1">
      <alignment vertical="center"/>
    </xf>
    <xf numFmtId="0" fontId="2" fillId="9" borderId="0" xfId="2" applyFill="1" applyProtection="1">
      <protection locked="0"/>
    </xf>
    <xf numFmtId="0" fontId="15" fillId="9" borderId="0" xfId="2" applyFont="1" applyFill="1" applyAlignment="1" applyProtection="1">
      <alignment wrapText="1"/>
      <protection locked="0"/>
    </xf>
    <xf numFmtId="0" fontId="2" fillId="0" borderId="0" xfId="2" applyFill="1" applyProtection="1">
      <protection locked="0"/>
    </xf>
    <xf numFmtId="0" fontId="15" fillId="9" borderId="0" xfId="2" applyFont="1" applyFill="1" applyAlignment="1" applyProtection="1">
      <alignment vertical="top" wrapText="1"/>
      <protection locked="0"/>
    </xf>
    <xf numFmtId="0" fontId="16" fillId="0" borderId="0" xfId="2" applyFont="1" applyFill="1" applyProtection="1">
      <protection locked="0"/>
    </xf>
    <xf numFmtId="0" fontId="14" fillId="9" borderId="0" xfId="2" applyFont="1" applyFill="1" applyAlignment="1" applyProtection="1">
      <alignment wrapText="1"/>
      <protection locked="0"/>
    </xf>
    <xf numFmtId="0" fontId="15" fillId="9" borderId="6" xfId="2" applyFont="1" applyFill="1" applyBorder="1" applyAlignment="1" applyProtection="1">
      <alignment horizontal="left" vertical="top" indent="1"/>
      <protection locked="0"/>
    </xf>
    <xf numFmtId="0" fontId="15" fillId="9" borderId="2" xfId="2" applyFont="1" applyFill="1" applyBorder="1" applyAlignment="1" applyProtection="1">
      <alignment horizontal="left" vertical="top" indent="1"/>
      <protection locked="0"/>
    </xf>
    <xf numFmtId="0" fontId="15" fillId="9" borderId="2" xfId="2" applyFont="1" applyFill="1" applyBorder="1" applyAlignment="1" applyProtection="1">
      <alignment horizontal="left" vertical="top" wrapText="1" indent="1"/>
      <protection locked="0"/>
    </xf>
    <xf numFmtId="0" fontId="2" fillId="9" borderId="0" xfId="2" applyFill="1" applyAlignment="1" applyProtection="1">
      <alignment horizontal="left" vertical="top" wrapText="1" indent="2"/>
      <protection locked="0"/>
    </xf>
    <xf numFmtId="0" fontId="11" fillId="9" borderId="0" xfId="2" applyFont="1" applyFill="1" applyProtection="1">
      <protection locked="0"/>
    </xf>
    <xf numFmtId="166" fontId="0" fillId="0" borderId="5" xfId="0" applyNumberFormat="1" applyFill="1" applyBorder="1" applyProtection="1">
      <protection locked="0"/>
    </xf>
    <xf numFmtId="0" fontId="0" fillId="0" borderId="5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3" fontId="0" fillId="0" borderId="5" xfId="0" applyNumberFormat="1" applyFill="1" applyBorder="1" applyProtection="1">
      <protection locked="0"/>
    </xf>
    <xf numFmtId="0" fontId="3" fillId="9" borderId="0" xfId="2" applyFont="1" applyFill="1" applyProtection="1">
      <protection locked="0"/>
    </xf>
    <xf numFmtId="166" fontId="0" fillId="0" borderId="1" xfId="0" applyNumberFormat="1" applyFill="1" applyBorder="1" applyProtection="1">
      <protection locked="0"/>
    </xf>
    <xf numFmtId="0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4" fontId="5" fillId="0" borderId="5" xfId="0" applyNumberFormat="1" applyFont="1" applyFill="1" applyBorder="1" applyProtection="1">
      <protection locked="0"/>
    </xf>
    <xf numFmtId="0" fontId="2" fillId="9" borderId="0" xfId="2" applyFill="1" applyAlignment="1" applyProtection="1">
      <alignment wrapText="1"/>
      <protection locked="0"/>
    </xf>
    <xf numFmtId="0" fontId="2" fillId="9" borderId="4" xfId="2" applyFill="1" applyBorder="1" applyProtection="1">
      <protection locked="0"/>
    </xf>
    <xf numFmtId="0" fontId="2" fillId="9" borderId="0" xfId="2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10" fillId="9" borderId="0" xfId="2" applyFont="1" applyFill="1" applyProtection="1">
      <protection locked="0"/>
    </xf>
    <xf numFmtId="0" fontId="2" fillId="9" borderId="3" xfId="2" applyFill="1" applyBorder="1" applyProtection="1"/>
    <xf numFmtId="0" fontId="0" fillId="0" borderId="5" xfId="0" applyFill="1" applyBorder="1" applyProtection="1"/>
    <xf numFmtId="0" fontId="5" fillId="0" borderId="5" xfId="0" applyFont="1" applyFill="1" applyBorder="1" applyProtection="1"/>
    <xf numFmtId="0" fontId="2" fillId="9" borderId="7" xfId="2" applyFill="1" applyBorder="1" applyProtection="1"/>
    <xf numFmtId="0" fontId="5" fillId="0" borderId="1" xfId="0" applyFont="1" applyFill="1" applyBorder="1" applyProtection="1"/>
    <xf numFmtId="0" fontId="0" fillId="0" borderId="1" xfId="0" applyFill="1" applyBorder="1" applyProtection="1"/>
    <xf numFmtId="0" fontId="2" fillId="10" borderId="0" xfId="2" applyFill="1" applyProtection="1">
      <protection locked="0"/>
    </xf>
    <xf numFmtId="0" fontId="16" fillId="10" borderId="0" xfId="2" applyFont="1" applyFill="1" applyProtection="1">
      <protection locked="0"/>
    </xf>
    <xf numFmtId="0" fontId="0" fillId="9" borderId="0" xfId="0" applyFill="1"/>
    <xf numFmtId="0" fontId="0" fillId="9" borderId="0" xfId="0" applyFill="1" applyAlignment="1"/>
    <xf numFmtId="0" fontId="18" fillId="9" borderId="0" xfId="0" applyFont="1" applyFill="1"/>
    <xf numFmtId="0" fontId="19" fillId="9" borderId="0" xfId="0" applyFont="1" applyFill="1"/>
    <xf numFmtId="3" fontId="0" fillId="0" borderId="0" xfId="0" applyNumberFormat="1" applyFill="1" applyBorder="1" applyProtection="1">
      <protection locked="0"/>
    </xf>
    <xf numFmtId="0" fontId="20" fillId="9" borderId="0" xfId="0" applyFont="1" applyFill="1"/>
    <xf numFmtId="9" fontId="0" fillId="9" borderId="0" xfId="1" applyFont="1" applyFill="1"/>
    <xf numFmtId="0" fontId="21" fillId="9" borderId="0" xfId="0" quotePrefix="1" applyFont="1" applyFill="1"/>
    <xf numFmtId="0" fontId="20" fillId="9" borderId="0" xfId="0" applyFont="1" applyFill="1" applyAlignment="1">
      <alignment horizontal="center" vertical="top"/>
    </xf>
    <xf numFmtId="0" fontId="20" fillId="9" borderId="0" xfId="0" applyFont="1" applyFill="1" applyAlignment="1">
      <alignment horizontal="left" vertical="top"/>
    </xf>
    <xf numFmtId="1" fontId="0" fillId="9" borderId="0" xfId="0" applyNumberFormat="1" applyFill="1"/>
    <xf numFmtId="0" fontId="18" fillId="9" borderId="0" xfId="0" applyFont="1" applyFill="1" applyAlignment="1">
      <alignment horizontal="center"/>
    </xf>
    <xf numFmtId="0" fontId="1" fillId="9" borderId="0" xfId="2" applyFont="1" applyFill="1" applyProtection="1">
      <protection locked="0"/>
    </xf>
    <xf numFmtId="0" fontId="1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top"/>
    </xf>
    <xf numFmtId="0" fontId="20" fillId="0" borderId="0" xfId="0" applyFont="1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0" fontId="0" fillId="9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0" fontId="17" fillId="9" borderId="0" xfId="0" applyFont="1" applyFill="1" applyAlignment="1"/>
    <xf numFmtId="168" fontId="0" fillId="9" borderId="0" xfId="0" applyNumberFormat="1" applyFill="1"/>
    <xf numFmtId="1" fontId="6" fillId="9" borderId="0" xfId="0" applyNumberFormat="1" applyFont="1" applyFill="1" applyAlignment="1">
      <alignment horizontal="center"/>
    </xf>
    <xf numFmtId="168" fontId="0" fillId="9" borderId="0" xfId="0" applyNumberFormat="1" applyFill="1" applyAlignment="1"/>
    <xf numFmtId="9" fontId="0" fillId="9" borderId="0" xfId="1" applyFont="1" applyFill="1" applyAlignment="1"/>
    <xf numFmtId="1" fontId="0" fillId="9" borderId="0" xfId="0" applyNumberFormat="1" applyFill="1" applyAlignment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0" fillId="8" borderId="0" xfId="0" applyNumberFormat="1" applyFill="1" applyAlignment="1">
      <alignment horizontal="center"/>
    </xf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0" borderId="0" xfId="1" applyNumberFormat="1" applyFont="1" applyAlignment="1">
      <alignment horizontal="center"/>
    </xf>
    <xf numFmtId="0" fontId="0" fillId="7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/>
    </xf>
    <xf numFmtId="0" fontId="24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4" fillId="6" borderId="0" xfId="0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4" fillId="7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167" fontId="7" fillId="0" borderId="0" xfId="0" applyNumberFormat="1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center"/>
    </xf>
    <xf numFmtId="167" fontId="26" fillId="0" borderId="0" xfId="0" applyNumberFormat="1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13" borderId="0" xfId="0" applyFont="1" applyFill="1" applyAlignment="1">
      <alignment horizontal="center"/>
    </xf>
    <xf numFmtId="0" fontId="24" fillId="14" borderId="0" xfId="0" applyFont="1" applyFill="1" applyAlignment="1">
      <alignment horizontal="center"/>
    </xf>
    <xf numFmtId="0" fontId="8" fillId="9" borderId="0" xfId="2" applyFont="1" applyFill="1" applyAlignment="1">
      <alignment horizontal="center"/>
    </xf>
    <xf numFmtId="0" fontId="9" fillId="9" borderId="0" xfId="2" applyFont="1" applyFill="1" applyAlignment="1">
      <alignment horizontal="left" vertical="top"/>
    </xf>
    <xf numFmtId="0" fontId="9" fillId="9" borderId="0" xfId="2" applyFont="1" applyFill="1" applyAlignment="1">
      <alignment horizontal="left" indent="8"/>
    </xf>
    <xf numFmtId="0" fontId="9" fillId="9" borderId="0" xfId="2" applyFont="1" applyFill="1" applyAlignment="1">
      <alignment horizontal="left"/>
    </xf>
    <xf numFmtId="0" fontId="18" fillId="9" borderId="0" xfId="0" applyFont="1" applyFill="1" applyAlignment="1">
      <alignment horizontal="center"/>
    </xf>
    <xf numFmtId="0" fontId="17" fillId="9" borderId="0" xfId="0" applyFont="1" applyFill="1" applyAlignment="1">
      <alignment horizontal="left"/>
    </xf>
    <xf numFmtId="0" fontId="0" fillId="9" borderId="0" xfId="0" applyFill="1" applyAlignment="1">
      <alignment horizontal="left"/>
    </xf>
  </cellXfs>
  <cellStyles count="3">
    <cellStyle name="Normal" xfId="0" builtinId="0"/>
    <cellStyle name="Normal 2" xfId="2" xr:uid="{57BB45E8-4445-F848-B9A1-D46D88F5E456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635000</xdr:colOff>
      <xdr:row>1</xdr:row>
      <xdr:rowOff>177800</xdr:rowOff>
    </xdr:from>
    <xdr:to>
      <xdr:col>15</xdr:col>
      <xdr:colOff>88900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00A179-93F7-9C47-982C-C0FC8D968A55}"/>
            </a:ext>
          </a:extLst>
        </xdr:cNvPr>
        <xdr:cNvSpPr txBox="1"/>
      </xdr:nvSpPr>
      <xdr:spPr>
        <a:xfrm>
          <a:off x="2286000" y="381000"/>
          <a:ext cx="10185400" cy="19177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</a:rPr>
            <a:t>HERRAMIENTA DE OPTIMIZACIÓN</a:t>
          </a:r>
          <a:b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</a:rPr>
          </a:br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</a:rPr>
            <a:t> PARA DEPURADORAS Y LA INDUSTRIA AGROALIMENTARIA</a:t>
          </a:r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  <a:cs typeface="Abadi" panose="020F0502020204030204" pitchFamily="34" charset="0"/>
            </a:rPr>
            <a:t>: </a:t>
          </a:r>
        </a:p>
        <a:p>
          <a:pPr algn="ctr"/>
          <a:endParaRPr lang="en-US" sz="2400" b="1" i="0" baseline="0" dirty="0">
            <a:ln w="10160">
              <a:solidFill>
                <a:schemeClr val="accent6">
                  <a:lumMod val="50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+mn-lt"/>
            <a:cs typeface="Abadi" panose="020F0502020204030204" pitchFamily="34" charset="0"/>
          </a:endParaRPr>
        </a:p>
        <a:p>
          <a:pPr algn="ctr"/>
          <a:r>
            <a:rPr lang="en-US" sz="1800" b="1" i="0" baseline="0">
              <a:solidFill>
                <a:sysClr val="windowText" lastClr="000000"/>
              </a:solidFill>
              <a:latin typeface="Abadi" panose="020F0502020204030204" pitchFamily="34" charset="0"/>
              <a:cs typeface="Abadi" panose="020F0502020204030204" pitchFamily="34" charset="0"/>
            </a:rPr>
            <a:t>TAMAÑO Y UBICACIÓN </a:t>
          </a:r>
          <a:endParaRPr lang="en-US" sz="2000" b="1" i="0">
            <a:solidFill>
              <a:sysClr val="windowText" lastClr="000000"/>
            </a:solidFill>
            <a:latin typeface="Abadi" panose="020F0502020204030204" pitchFamily="34" charset="0"/>
            <a:cs typeface="Abadi" panose="020F0502020204030204" pitchFamily="34" charset="0"/>
          </a:endParaRPr>
        </a:p>
        <a:p>
          <a:endParaRPr lang="en-US" sz="1100"/>
        </a:p>
      </xdr:txBody>
    </xdr:sp>
    <xdr:clientData/>
  </xdr:twoCellAnchor>
  <xdr:twoCellAnchor editAs="oneCell">
    <xdr:from>
      <xdr:col>0</xdr:col>
      <xdr:colOff>38101</xdr:colOff>
      <xdr:row>0</xdr:row>
      <xdr:rowOff>113877</xdr:rowOff>
    </xdr:from>
    <xdr:to>
      <xdr:col>2</xdr:col>
      <xdr:colOff>241301</xdr:colOff>
      <xdr:row>4</xdr:row>
      <xdr:rowOff>169110</xdr:rowOff>
    </xdr:to>
    <xdr:pic>
      <xdr:nvPicPr>
        <xdr:cNvPr id="3" name="Picture 2" descr="Conoce la Escuela. Tecnun. Escuela de Ingeniería. Universidad de Navarra. -  Tecnun Escuela de Ingeniería - Universidad de Navarra">
          <a:extLst>
            <a:ext uri="{FF2B5EF4-FFF2-40B4-BE49-F238E27FC236}">
              <a16:creationId xmlns:a16="http://schemas.microsoft.com/office/drawing/2014/main" id="{727EB580-8414-504C-A8C1-AF663FF7B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113877"/>
          <a:ext cx="1854200" cy="86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723901</xdr:colOff>
      <xdr:row>12</xdr:row>
      <xdr:rowOff>101601</xdr:rowOff>
    </xdr:from>
    <xdr:to>
      <xdr:col>10</xdr:col>
      <xdr:colOff>254001</xdr:colOff>
      <xdr:row>15</xdr:row>
      <xdr:rowOff>15612</xdr:rowOff>
    </xdr:to>
    <xdr:sp macro="[0]!IraIntroduccion" textlink="">
      <xdr:nvSpPr>
        <xdr:cNvPr id="4" name="TextBox 3">
          <a:extLst>
            <a:ext uri="{FF2B5EF4-FFF2-40B4-BE49-F238E27FC236}">
              <a16:creationId xmlns:a16="http://schemas.microsoft.com/office/drawing/2014/main" id="{837BE40A-D926-484F-A9B4-BF87FA407F37}"/>
            </a:ext>
          </a:extLst>
        </xdr:cNvPr>
        <xdr:cNvSpPr txBox="1"/>
      </xdr:nvSpPr>
      <xdr:spPr>
        <a:xfrm>
          <a:off x="5676901" y="2603501"/>
          <a:ext cx="2832100" cy="587111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8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Introducción</a:t>
          </a:r>
          <a:r>
            <a:rPr lang="en-US">
              <a:ln>
                <a:solidFill>
                  <a:schemeClr val="accent1">
                    <a:lumMod val="75000"/>
                  </a:schemeClr>
                </a:solidFill>
              </a:ln>
            </a:rPr>
            <a:t> </a:t>
          </a:r>
        </a:p>
      </xdr:txBody>
    </xdr:sp>
    <xdr:clientData/>
  </xdr:twoCellAnchor>
  <xdr:twoCellAnchor>
    <xdr:from>
      <xdr:col>6</xdr:col>
      <xdr:colOff>711201</xdr:colOff>
      <xdr:row>16</xdr:row>
      <xdr:rowOff>1</xdr:rowOff>
    </xdr:from>
    <xdr:to>
      <xdr:col>10</xdr:col>
      <xdr:colOff>241301</xdr:colOff>
      <xdr:row>18</xdr:row>
      <xdr:rowOff>180712</xdr:rowOff>
    </xdr:to>
    <xdr:sp macro="[0]!IraHerramienta" textlink="">
      <xdr:nvSpPr>
        <xdr:cNvPr id="5" name="TextBox 3">
          <a:extLst>
            <a:ext uri="{FF2B5EF4-FFF2-40B4-BE49-F238E27FC236}">
              <a16:creationId xmlns:a16="http://schemas.microsoft.com/office/drawing/2014/main" id="{D881D2AE-05E9-EC4D-9CF3-7F89B0919122}"/>
            </a:ext>
          </a:extLst>
        </xdr:cNvPr>
        <xdr:cNvSpPr txBox="1"/>
      </xdr:nvSpPr>
      <xdr:spPr>
        <a:xfrm>
          <a:off x="5664201" y="3378201"/>
          <a:ext cx="2832100" cy="587111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8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Herramienta</a:t>
          </a:r>
          <a:r>
            <a:rPr lang="en-US">
              <a:ln>
                <a:solidFill>
                  <a:schemeClr val="accent1">
                    <a:lumMod val="75000"/>
                  </a:schemeClr>
                </a:solidFill>
              </a:ln>
            </a:rPr>
            <a:t> </a:t>
          </a:r>
        </a:p>
      </xdr:txBody>
    </xdr:sp>
    <xdr:clientData/>
  </xdr:twoCellAnchor>
  <xdr:twoCellAnchor editAs="oneCell">
    <xdr:from>
      <xdr:col>3</xdr:col>
      <xdr:colOff>533400</xdr:colOff>
      <xdr:row>12</xdr:row>
      <xdr:rowOff>190500</xdr:rowOff>
    </xdr:from>
    <xdr:to>
      <xdr:col>4</xdr:col>
      <xdr:colOff>812800</xdr:colOff>
      <xdr:row>18</xdr:row>
      <xdr:rowOff>12700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8A4089-96AC-EC44-8C9B-9CB73D375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2692400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12</xdr:row>
      <xdr:rowOff>177800</xdr:rowOff>
    </xdr:from>
    <xdr:to>
      <xdr:col>13</xdr:col>
      <xdr:colOff>368300</xdr:colOff>
      <xdr:row>18</xdr:row>
      <xdr:rowOff>12700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7BE02BE-8343-0740-A7EC-BCC113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2200" y="2679700"/>
          <a:ext cx="1117600" cy="1117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444501</xdr:colOff>
      <xdr:row>13</xdr:row>
      <xdr:rowOff>264664</xdr:rowOff>
    </xdr:from>
    <xdr:to>
      <xdr:col>2</xdr:col>
      <xdr:colOff>533401</xdr:colOff>
      <xdr:row>16</xdr:row>
      <xdr:rowOff>177800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8F4917-C58E-4B4B-A1DF-A3EFE3EDC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1" y="2969764"/>
          <a:ext cx="914400" cy="5862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339275</xdr:colOff>
      <xdr:row>0</xdr:row>
      <xdr:rowOff>73205</xdr:rowOff>
    </xdr:from>
    <xdr:to>
      <xdr:col>12</xdr:col>
      <xdr:colOff>623560</xdr:colOff>
      <xdr:row>3</xdr:row>
      <xdr:rowOff>35105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4C51F61-0D5C-6C4A-AABD-9064C257EE73}"/>
            </a:ext>
          </a:extLst>
        </xdr:cNvPr>
        <xdr:cNvSpPr txBox="1"/>
      </xdr:nvSpPr>
      <xdr:spPr>
        <a:xfrm>
          <a:off x="339275" y="73205"/>
          <a:ext cx="10190285" cy="5715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</a:rPr>
            <a:t>Introducción</a:t>
          </a:r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  <a:cs typeface="Abadi" panose="020F0502020204030204" pitchFamily="34" charset="0"/>
            </a:rPr>
            <a:t>: </a:t>
          </a:r>
        </a:p>
        <a:p>
          <a:pPr algn="ctr"/>
          <a:endParaRPr lang="en-US" sz="2400" b="1" i="0" baseline="0" dirty="0">
            <a:ln w="10160">
              <a:solidFill>
                <a:schemeClr val="accent6">
                  <a:lumMod val="50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+mn-lt"/>
            <a:cs typeface="Abadi" panose="020F0502020204030204" pitchFamily="34" charset="0"/>
          </a:endParaRPr>
        </a:p>
        <a:p>
          <a:endParaRPr lang="en-US" sz="1100"/>
        </a:p>
      </xdr:txBody>
    </xdr:sp>
    <xdr:clientData/>
  </xdr:twoCellAnchor>
  <xdr:oneCellAnchor>
    <xdr:from>
      <xdr:col>1</xdr:col>
      <xdr:colOff>12700</xdr:colOff>
      <xdr:row>5</xdr:row>
      <xdr:rowOff>88900</xdr:rowOff>
    </xdr:from>
    <xdr:ext cx="495300" cy="493294"/>
    <xdr:pic>
      <xdr:nvPicPr>
        <xdr:cNvPr id="3" name="Picture 2">
          <a:extLst>
            <a:ext uri="{FF2B5EF4-FFF2-40B4-BE49-F238E27FC236}">
              <a16:creationId xmlns:a16="http://schemas.microsoft.com/office/drawing/2014/main" id="{B4C2102B-2CFD-AD4B-A3FB-72D53A29B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1104900"/>
          <a:ext cx="495300" cy="493294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20</xdr:row>
      <xdr:rowOff>177800</xdr:rowOff>
    </xdr:from>
    <xdr:ext cx="482600" cy="483937"/>
    <xdr:pic>
      <xdr:nvPicPr>
        <xdr:cNvPr id="4" name="Picture 3">
          <a:extLst>
            <a:ext uri="{FF2B5EF4-FFF2-40B4-BE49-F238E27FC236}">
              <a16:creationId xmlns:a16="http://schemas.microsoft.com/office/drawing/2014/main" id="{4783CBCD-3516-5B43-B26A-E9DDED98A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3600" y="4241800"/>
          <a:ext cx="482600" cy="483937"/>
        </a:xfrm>
        <a:prstGeom prst="rect">
          <a:avLst/>
        </a:prstGeom>
      </xdr:spPr>
    </xdr:pic>
    <xdr:clientData/>
  </xdr:oneCellAnchor>
  <xdr:twoCellAnchor>
    <xdr:from>
      <xdr:col>0</xdr:col>
      <xdr:colOff>736600</xdr:colOff>
      <xdr:row>22</xdr:row>
      <xdr:rowOff>165099</xdr:rowOff>
    </xdr:from>
    <xdr:to>
      <xdr:col>5</xdr:col>
      <xdr:colOff>546100</xdr:colOff>
      <xdr:row>52</xdr:row>
      <xdr:rowOff>26737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5360FE2-259E-914E-B649-08F261A3095E}"/>
            </a:ext>
          </a:extLst>
        </xdr:cNvPr>
        <xdr:cNvSpPr txBox="1"/>
      </xdr:nvSpPr>
      <xdr:spPr>
        <a:xfrm>
          <a:off x="736600" y="4635499"/>
          <a:ext cx="3937000" cy="59576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5">
                  <a:lumMod val="75000"/>
                </a:schemeClr>
              </a:solidFill>
            </a:rPr>
            <a:t>El optimizador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consiste en una función objetivo, donde la meta es minimizar los costes totales. Esto se cosigue a traves de la utilización de la herramienta SOLVER de excel. Dicha función objetivo consta de tres partes: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1) </a:t>
          </a:r>
          <a:r>
            <a:rPr lang="en-US" sz="1100" u="sng" baseline="0">
              <a:solidFill>
                <a:schemeClr val="accent5">
                  <a:lumMod val="75000"/>
                </a:schemeClr>
              </a:solidFill>
            </a:rPr>
            <a:t>Consumo de combustible: </a:t>
          </a:r>
          <a:r>
            <a:rPr lang="en-US" sz="1100" u="none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El transporte de los lodos y los residuos supone un coste, por ende esta parte consiste en predecir el coste de los consumos de combustible de los clusters a la institucion centralizada.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2) </a:t>
          </a:r>
          <a:r>
            <a:rPr lang="en-US" sz="1100" u="sng" baseline="0">
              <a:solidFill>
                <a:schemeClr val="accent5">
                  <a:lumMod val="75000"/>
                </a:schemeClr>
              </a:solidFill>
            </a:rPr>
            <a:t>Producción de metano: </a:t>
          </a:r>
          <a:r>
            <a:rPr lang="en-US" sz="1100" u="none" baseline="0">
              <a:solidFill>
                <a:schemeClr val="accent5">
                  <a:lumMod val="75000"/>
                </a:schemeClr>
              </a:solidFill>
            </a:rPr>
            <a:t> 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Hay una parte de materia orgánica proveniente de los lodos y los residuos que se pueden utilizar para generar electricidad a traves de la combustión del metano. Dicha electricidad se puede vender, lo que supone un ahorro significativo para hacer frente a los otros costes.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3</a:t>
          </a:r>
          <a:r>
            <a:rPr lang="en-US" sz="1100" u="sng" baseline="0">
              <a:solidFill>
                <a:schemeClr val="accent5">
                  <a:lumMod val="75000"/>
                </a:schemeClr>
              </a:solidFill>
            </a:rPr>
            <a:t>) Construcción de plantas: </a:t>
          </a:r>
          <a:r>
            <a:rPr lang="en-US" sz="1100" u="none" baseline="0">
              <a:solidFill>
                <a:schemeClr val="accent5">
                  <a:lumMod val="75000"/>
                </a:schemeClr>
              </a:solidFill>
            </a:rPr>
            <a:t>Hay que construir la o las instituciones centralizadas donde se van a tratar todos los residuos, y dicha construcción supone un coste importante a tener en cuenta. </a:t>
          </a:r>
          <a:endParaRPr lang="en-US" sz="1100" u="sng" baseline="0">
            <a:solidFill>
              <a:schemeClr val="accent5">
                <a:lumMod val="75000"/>
              </a:schemeClr>
            </a:solidFill>
          </a:endParaRPr>
        </a:p>
        <a:p>
          <a:endParaRPr lang="en-US" sz="110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>
              <a:solidFill>
                <a:schemeClr val="accent5">
                  <a:lumMod val="75000"/>
                </a:schemeClr>
              </a:solidFill>
            </a:rPr>
            <a:t>Por último, las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unidades de todas las partes se encuentran en euros y adicionalmente en la función objetivo se tiene en cuenta un período de explotación en el que la o las instituciones centralizadas funcionaran. En este caso, se estableció un período fijo de 15 años. </a:t>
          </a:r>
          <a:endParaRPr lang="en-US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oneCellAnchor>
    <xdr:from>
      <xdr:col>7</xdr:col>
      <xdr:colOff>502638</xdr:colOff>
      <xdr:row>5</xdr:row>
      <xdr:rowOff>139411</xdr:rowOff>
    </xdr:from>
    <xdr:ext cx="486621" cy="393034"/>
    <xdr:pic>
      <xdr:nvPicPr>
        <xdr:cNvPr id="6" name="Picture 5">
          <a:extLst>
            <a:ext uri="{FF2B5EF4-FFF2-40B4-BE49-F238E27FC236}">
              <a16:creationId xmlns:a16="http://schemas.microsoft.com/office/drawing/2014/main" id="{8BAD2E6C-61E9-3C4B-A867-057A7072E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flipH="1">
          <a:off x="5773138" y="1137268"/>
          <a:ext cx="486621" cy="393034"/>
        </a:xfrm>
        <a:prstGeom prst="rect">
          <a:avLst/>
        </a:prstGeom>
      </xdr:spPr>
    </xdr:pic>
    <xdr:clientData/>
  </xdr:oneCellAnchor>
  <xdr:twoCellAnchor>
    <xdr:from>
      <xdr:col>15</xdr:col>
      <xdr:colOff>708527</xdr:colOff>
      <xdr:row>4</xdr:row>
      <xdr:rowOff>53472</xdr:rowOff>
    </xdr:from>
    <xdr:to>
      <xdr:col>18</xdr:col>
      <xdr:colOff>347579</xdr:colOff>
      <xdr:row>6</xdr:row>
      <xdr:rowOff>160420</xdr:rowOff>
    </xdr:to>
    <xdr:sp macro="[0]!IraInicio" textlink="">
      <xdr:nvSpPr>
        <xdr:cNvPr id="8" name="TextBox 3">
          <a:extLst>
            <a:ext uri="{FF2B5EF4-FFF2-40B4-BE49-F238E27FC236}">
              <a16:creationId xmlns:a16="http://schemas.microsoft.com/office/drawing/2014/main" id="{B6261B7B-E18C-EA4E-BF92-EC0370C955FA}"/>
            </a:ext>
          </a:extLst>
        </xdr:cNvPr>
        <xdr:cNvSpPr txBox="1"/>
      </xdr:nvSpPr>
      <xdr:spPr>
        <a:xfrm>
          <a:off x="13091027" y="866272"/>
          <a:ext cx="2115552" cy="51334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4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Volver</a:t>
          </a:r>
          <a:r>
            <a:rPr lang="en-US" sz="2400" b="1" baseline="0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Inicio</a:t>
          </a:r>
          <a:r>
            <a:rPr lang="en-US" sz="2400">
              <a:ln>
                <a:solidFill>
                  <a:schemeClr val="accent1">
                    <a:lumMod val="75000"/>
                  </a:schemeClr>
                </a:solidFill>
              </a:ln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15</xdr:col>
      <xdr:colOff>735262</xdr:colOff>
      <xdr:row>7</xdr:row>
      <xdr:rowOff>40108</xdr:rowOff>
    </xdr:from>
    <xdr:to>
      <xdr:col>18</xdr:col>
      <xdr:colOff>374314</xdr:colOff>
      <xdr:row>11</xdr:row>
      <xdr:rowOff>171449</xdr:rowOff>
    </xdr:to>
    <xdr:sp macro="[0]!IraHerramienta" textlink="">
      <xdr:nvSpPr>
        <xdr:cNvPr id="9" name="TextBox 3">
          <a:extLst>
            <a:ext uri="{FF2B5EF4-FFF2-40B4-BE49-F238E27FC236}">
              <a16:creationId xmlns:a16="http://schemas.microsoft.com/office/drawing/2014/main" id="{EA003DDF-E541-174A-97A6-F9389EB5874F}"/>
            </a:ext>
          </a:extLst>
        </xdr:cNvPr>
        <xdr:cNvSpPr txBox="1"/>
      </xdr:nvSpPr>
      <xdr:spPr>
        <a:xfrm>
          <a:off x="13167894" y="1510634"/>
          <a:ext cx="2125578" cy="93344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4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Comenzar</a:t>
          </a:r>
          <a:r>
            <a:rPr lang="en-US" sz="2400" b="1" baseline="0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</a:p>
        <a:p>
          <a:pPr algn="ctr"/>
          <a:r>
            <a:rPr lang="en-US" sz="2400" b="1" baseline="0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herramienta</a:t>
          </a:r>
          <a:r>
            <a:rPr lang="en-US" sz="2400">
              <a:ln>
                <a:solidFill>
                  <a:schemeClr val="accent1">
                    <a:lumMod val="75000"/>
                  </a:schemeClr>
                </a:solidFill>
              </a:ln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0</xdr:col>
      <xdr:colOff>735263</xdr:colOff>
      <xdr:row>7</xdr:row>
      <xdr:rowOff>93581</xdr:rowOff>
    </xdr:from>
    <xdr:to>
      <xdr:col>5</xdr:col>
      <xdr:colOff>588210</xdr:colOff>
      <xdr:row>19</xdr:row>
      <xdr:rowOff>26737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04A7E7F-E1AB-E741-8E3A-F0D58BA103C3}"/>
            </a:ext>
          </a:extLst>
        </xdr:cNvPr>
        <xdr:cNvSpPr txBox="1"/>
      </xdr:nvSpPr>
      <xdr:spPr>
        <a:xfrm>
          <a:off x="735263" y="1515981"/>
          <a:ext cx="3980447" cy="23715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5">
                  <a:lumMod val="75000"/>
                </a:schemeClr>
              </a:solidFill>
            </a:rPr>
            <a:t>Esta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herramienta fue creada con el propósito de implementar modelos de gestión de aguas residuales provenientes de las depuradoras y de los residuos agroalimentarios que traten de priorizar la optimización energética y la recuperación de recursos.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Como resultado final en base a un pre-tratamiento de datos de entrada que se explica al lado derecho de la hoja, dicha herramienta proporciona la ubicación optima y el tamaño de la institución centralizada para gestionar los residuos provenientes de las depuradoras y las industrias agroalimentarias. </a:t>
          </a:r>
          <a:endParaRPr lang="en-US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574837</xdr:colOff>
      <xdr:row>7</xdr:row>
      <xdr:rowOff>13367</xdr:rowOff>
    </xdr:from>
    <xdr:to>
      <xdr:col>13</xdr:col>
      <xdr:colOff>80206</xdr:colOff>
      <xdr:row>20</xdr:row>
      <xdr:rowOff>147053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8FAAA92-E84C-8249-9900-1A35B009D0E6}"/>
            </a:ext>
          </a:extLst>
        </xdr:cNvPr>
        <xdr:cNvSpPr txBox="1"/>
      </xdr:nvSpPr>
      <xdr:spPr>
        <a:xfrm>
          <a:off x="6376732" y="1483893"/>
          <a:ext cx="4478421" cy="27405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5">
                  <a:lumMod val="75000"/>
                </a:schemeClr>
              </a:solidFill>
            </a:rPr>
            <a:t>Una parte importante de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la herramienta es el pre-tratamiento de los datos de entrada. Los pasos que se siguieron fueron los siguientes: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1. Se recibió las ubicaciones con sus coordenadas y las cantidades que producía cada depuradora o industria agroalimentaria. En base a esto, se optó por utilizar la técnica del clustering. El clustering </a:t>
          </a:r>
          <a:r>
            <a:rPr lang="es-ES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permite agrupar objetos similares entre si que sean distintos a los objetos de otro clusters</a:t>
          </a:r>
          <a:r>
            <a:rPr lang="en-US" sz="1100">
              <a:solidFill>
                <a:schemeClr val="accent5">
                  <a:lumMod val="75000"/>
                </a:schemeClr>
              </a:solidFill>
              <a:effectLst/>
            </a:rPr>
            <a:t>. </a:t>
          </a:r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2. Con el clustering, se optó por crear  4 clusters diferentes que representara un grupo o zona en específico. A la misma vez, las cantidades de lodo o residuo, y de DBO  que producía cada cluster era igual a la suma de todas las depuradora o industrias que pertenecieran a dicho cluster.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Por último, las ubicaciones de las dos plantas dependen de las ubicaciones de los 4 clusters. 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7</xdr:col>
      <xdr:colOff>601576</xdr:colOff>
      <xdr:row>20</xdr:row>
      <xdr:rowOff>165265</xdr:rowOff>
    </xdr:from>
    <xdr:to>
      <xdr:col>8</xdr:col>
      <xdr:colOff>160418</xdr:colOff>
      <xdr:row>22</xdr:row>
      <xdr:rowOff>68848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FA9BD9D-000A-864C-BC1A-47D18EF13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03471" y="4242633"/>
          <a:ext cx="387684" cy="438320"/>
        </a:xfrm>
        <a:prstGeom prst="rect">
          <a:avLst/>
        </a:prstGeom>
      </xdr:spPr>
    </xdr:pic>
    <xdr:clientData/>
  </xdr:twoCellAnchor>
  <xdr:twoCellAnchor>
    <xdr:from>
      <xdr:col>7</xdr:col>
      <xdr:colOff>534736</xdr:colOff>
      <xdr:row>22</xdr:row>
      <xdr:rowOff>120315</xdr:rowOff>
    </xdr:from>
    <xdr:to>
      <xdr:col>12</xdr:col>
      <xdr:colOff>548105</xdr:colOff>
      <xdr:row>54</xdr:row>
      <xdr:rowOff>127001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067AEB6-30DF-604F-8B5C-0AC5D622E1BE}"/>
            </a:ext>
          </a:extLst>
        </xdr:cNvPr>
        <xdr:cNvSpPr txBox="1"/>
      </xdr:nvSpPr>
      <xdr:spPr>
        <a:xfrm>
          <a:off x="5805236" y="4701386"/>
          <a:ext cx="3778012" cy="63929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Dos características importantes a conocer de la herramienta son: la primera es que solo contiene 4 clusters y la segunda es que únicamente se trabaja con 2 instituciones centralizadas para tratar el lodo o los residuos.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A continuación se explicara paso a paso como utilizar la herramienta: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1. Lo primero es hacer el pre-tratamiento de datos mencionados anteriormente con la técnica de clustering. Es importante saber que la herramienta únicamente funciona para 4 clusters y se puede observar en la ventana de herramienta en resultados del pre-tratamiento de datos. También, es importante  saber que las cantidades de cada cluster de lodo y de DBO es igual a la suma de todas las cantidades que producen las depuradoras o industrias que pertenecen a dicho cluster. Las coordenadas de los cluster el usuario no las podrá editar, ya que vienen pre definidas en el pre-tratamiento.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2. Luego, el usuario debera introducir información en las casillas de carga máxima, y peso bruto del camión que se utilizara para transportar las cantidades a las instituciones centralizadas. En la ventana de herramienta, en la parte de resultados del pre-tratamiento de datos el usuario podra manipular las columnas de las cantidades de lodo o residuo, y las de DBO de cada cluster como modo de prueba. Es importante saber que estos serían los unicos campos que el usuario puede manipular.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  <a:p>
          <a:r>
            <a:rPr lang="en-US" sz="1100" baseline="0">
              <a:solidFill>
                <a:schemeClr val="accent5">
                  <a:lumMod val="75000"/>
                </a:schemeClr>
              </a:solidFill>
            </a:rPr>
            <a:t>3. Una vez introducidos los datos por el usuario, al presionar el botón "RESOLVER" se ejecutará automaticamente el solver y cuando haya finalizado se dirigira a la ventana de resultado donde el usuario podra ver los resultados obtenidos. </a:t>
          </a:r>
        </a:p>
        <a:p>
          <a:endParaRPr lang="en-US" sz="1100" baseline="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76200</xdr:rowOff>
    </xdr:from>
    <xdr:to>
      <xdr:col>12</xdr:col>
      <xdr:colOff>179805</xdr:colOff>
      <xdr:row>3</xdr:row>
      <xdr:rowOff>30079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AACE45A-74B4-F843-857E-F751FD8F8B62}"/>
            </a:ext>
          </a:extLst>
        </xdr:cNvPr>
        <xdr:cNvSpPr txBox="1"/>
      </xdr:nvSpPr>
      <xdr:spPr>
        <a:xfrm>
          <a:off x="50800" y="76200"/>
          <a:ext cx="13362405" cy="56347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</a:rPr>
            <a:t>Herramienta de cálculo</a:t>
          </a:r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  <a:cs typeface="Abadi" panose="020F0502020204030204" pitchFamily="34" charset="0"/>
            </a:rPr>
            <a:t>: </a:t>
          </a:r>
        </a:p>
        <a:p>
          <a:pPr algn="ctr"/>
          <a:endParaRPr lang="en-US" sz="2400" b="1" i="0" baseline="0" dirty="0">
            <a:ln w="10160">
              <a:solidFill>
                <a:schemeClr val="accent6">
                  <a:lumMod val="50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+mn-lt"/>
            <a:cs typeface="Abadi" panose="020F0502020204030204" pitchFamily="34" charset="0"/>
          </a:endParaRPr>
        </a:p>
        <a:p>
          <a:endParaRPr lang="en-US" sz="1100"/>
        </a:p>
      </xdr:txBody>
    </xdr:sp>
    <xdr:clientData/>
  </xdr:twoCellAnchor>
  <xdr:twoCellAnchor>
    <xdr:from>
      <xdr:col>11</xdr:col>
      <xdr:colOff>63500</xdr:colOff>
      <xdr:row>4</xdr:row>
      <xdr:rowOff>190500</xdr:rowOff>
    </xdr:from>
    <xdr:to>
      <xdr:col>13</xdr:col>
      <xdr:colOff>538078</xdr:colOff>
      <xdr:row>7</xdr:row>
      <xdr:rowOff>88901</xdr:rowOff>
    </xdr:to>
    <xdr:sp macro="[0]!IraInicio" textlink="">
      <xdr:nvSpPr>
        <xdr:cNvPr id="3" name="TextBox 3">
          <a:extLst>
            <a:ext uri="{FF2B5EF4-FFF2-40B4-BE49-F238E27FC236}">
              <a16:creationId xmlns:a16="http://schemas.microsoft.com/office/drawing/2014/main" id="{DBDA6CFA-2308-3749-993C-E59B2AD4DAA0}"/>
            </a:ext>
          </a:extLst>
        </xdr:cNvPr>
        <xdr:cNvSpPr txBox="1"/>
      </xdr:nvSpPr>
      <xdr:spPr>
        <a:xfrm>
          <a:off x="12052300" y="1003300"/>
          <a:ext cx="2125578" cy="508001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4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Volver</a:t>
          </a:r>
          <a:r>
            <a:rPr lang="en-US" sz="2400" b="1" baseline="0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Inicio</a:t>
          </a:r>
          <a:r>
            <a:rPr lang="en-US" sz="2400">
              <a:ln>
                <a:solidFill>
                  <a:schemeClr val="accent1">
                    <a:lumMod val="75000"/>
                  </a:schemeClr>
                </a:solidFill>
              </a:ln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11</xdr:col>
      <xdr:colOff>63500</xdr:colOff>
      <xdr:row>7</xdr:row>
      <xdr:rowOff>165100</xdr:rowOff>
    </xdr:from>
    <xdr:to>
      <xdr:col>13</xdr:col>
      <xdr:colOff>558800</xdr:colOff>
      <xdr:row>9</xdr:row>
      <xdr:rowOff>190500</xdr:rowOff>
    </xdr:to>
    <xdr:sp macro="[0]!IraIntroduccion" textlink="">
      <xdr:nvSpPr>
        <xdr:cNvPr id="4" name="TextBox 3">
          <a:extLst>
            <a:ext uri="{FF2B5EF4-FFF2-40B4-BE49-F238E27FC236}">
              <a16:creationId xmlns:a16="http://schemas.microsoft.com/office/drawing/2014/main" id="{F1F5BE27-4383-0F4E-97EA-2915212ED627}"/>
            </a:ext>
          </a:extLst>
        </xdr:cNvPr>
        <xdr:cNvSpPr txBox="1"/>
      </xdr:nvSpPr>
      <xdr:spPr>
        <a:xfrm>
          <a:off x="12052300" y="1587500"/>
          <a:ext cx="2146300" cy="8763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4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Volver Introducción</a:t>
          </a:r>
          <a:r>
            <a:rPr lang="en-US" sz="2400">
              <a:ln>
                <a:solidFill>
                  <a:schemeClr val="accent1">
                    <a:lumMod val="75000"/>
                  </a:schemeClr>
                </a:solidFill>
              </a:ln>
            </a:rPr>
            <a:t> </a:t>
          </a:r>
        </a:p>
      </xdr:txBody>
    </xdr:sp>
    <xdr:clientData/>
  </xdr:twoCellAnchor>
  <xdr:oneCellAnchor>
    <xdr:from>
      <xdr:col>6</xdr:col>
      <xdr:colOff>927100</xdr:colOff>
      <xdr:row>9</xdr:row>
      <xdr:rowOff>50800</xdr:rowOff>
    </xdr:from>
    <xdr:ext cx="184731" cy="264431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AF5E1844-E6E1-4C41-8C70-47D28E244C33}"/>
            </a:ext>
          </a:extLst>
        </xdr:cNvPr>
        <xdr:cNvSpPr txBox="1"/>
      </xdr:nvSpPr>
      <xdr:spPr>
        <a:xfrm>
          <a:off x="5778500" y="18796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749300</xdr:colOff>
      <xdr:row>6</xdr:row>
      <xdr:rowOff>38100</xdr:rowOff>
    </xdr:from>
    <xdr:to>
      <xdr:col>4</xdr:col>
      <xdr:colOff>838200</xdr:colOff>
      <xdr:row>7</xdr:row>
      <xdr:rowOff>139700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5DDF42A-61E3-0E49-A8AA-793EC93716C3}"/>
            </a:ext>
          </a:extLst>
        </xdr:cNvPr>
        <xdr:cNvSpPr txBox="1"/>
      </xdr:nvSpPr>
      <xdr:spPr>
        <a:xfrm>
          <a:off x="1765300" y="1257300"/>
          <a:ext cx="2819400" cy="304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Datos entrada</a:t>
          </a:r>
          <a:r>
            <a:rPr lang="en-US" sz="1400" baseline="0">
              <a:solidFill>
                <a:schemeClr val="bg1">
                  <a:lumMod val="65000"/>
                </a:schemeClr>
              </a:solidFill>
            </a:rPr>
            <a:t> del camión:</a:t>
          </a:r>
          <a:endParaRPr lang="en-US" sz="14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1</xdr:col>
      <xdr:colOff>762000</xdr:colOff>
      <xdr:row>11</xdr:row>
      <xdr:rowOff>0</xdr:rowOff>
    </xdr:from>
    <xdr:to>
      <xdr:col>5</xdr:col>
      <xdr:colOff>419100</xdr:colOff>
      <xdr:row>12</xdr:row>
      <xdr:rowOff>139700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75CE6913-8598-2D4A-9498-1756D1C36274}"/>
            </a:ext>
          </a:extLst>
        </xdr:cNvPr>
        <xdr:cNvSpPr txBox="1"/>
      </xdr:nvSpPr>
      <xdr:spPr>
        <a:xfrm>
          <a:off x="1778000" y="2679700"/>
          <a:ext cx="335280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Resultados del pre-tratamient</a:t>
          </a:r>
          <a:r>
            <a:rPr lang="en-US" sz="1400" baseline="0">
              <a:solidFill>
                <a:schemeClr val="bg1">
                  <a:lumMod val="65000"/>
                </a:schemeClr>
              </a:solidFill>
            </a:rPr>
            <a:t>o de datos: </a:t>
          </a:r>
          <a:endParaRPr lang="en-US" sz="14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4</xdr:col>
      <xdr:colOff>736600</xdr:colOff>
      <xdr:row>3</xdr:row>
      <xdr:rowOff>12700</xdr:rowOff>
    </xdr:from>
    <xdr:to>
      <xdr:col>9</xdr:col>
      <xdr:colOff>444500</xdr:colOff>
      <xdr:row>4</xdr:row>
      <xdr:rowOff>177800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A9EE904-98E3-F049-ACA4-E866A504A040}"/>
            </a:ext>
          </a:extLst>
        </xdr:cNvPr>
        <xdr:cNvSpPr txBox="1"/>
      </xdr:nvSpPr>
      <xdr:spPr>
        <a:xfrm>
          <a:off x="4483100" y="622300"/>
          <a:ext cx="5994400" cy="368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65000"/>
                </a:schemeClr>
              </a:solidFill>
            </a:rPr>
            <a:t>Si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tiene duda de algunos de los datos, coloque el cursor sobre el encabezado de la columna</a:t>
          </a:r>
          <a:endParaRPr lang="en-US" sz="11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4</xdr:col>
      <xdr:colOff>711200</xdr:colOff>
      <xdr:row>4</xdr:row>
      <xdr:rowOff>12700</xdr:rowOff>
    </xdr:from>
    <xdr:to>
      <xdr:col>9</xdr:col>
      <xdr:colOff>508000</xdr:colOff>
      <xdr:row>6</xdr:row>
      <xdr:rowOff>63500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1701D315-C13B-724E-BE85-D947CBEE99D0}"/>
            </a:ext>
          </a:extLst>
        </xdr:cNvPr>
        <xdr:cNvSpPr txBox="1"/>
      </xdr:nvSpPr>
      <xdr:spPr>
        <a:xfrm>
          <a:off x="4457700" y="825500"/>
          <a:ext cx="6083300" cy="45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65000"/>
                </a:schemeClr>
              </a:solidFill>
            </a:rPr>
            <a:t>Unicamente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podra editar las cantidades de lodo+residuo, de DBO y los datos de entrada del camión, lo demas viene predefinido en el pre-tratamiento de datos</a:t>
          </a:r>
        </a:p>
        <a:p>
          <a:endParaRPr lang="en-US" sz="1100"/>
        </a:p>
      </xdr:txBody>
    </xdr:sp>
    <xdr:clientData/>
  </xdr:twoCellAnchor>
  <xdr:twoCellAnchor>
    <xdr:from>
      <xdr:col>7</xdr:col>
      <xdr:colOff>38100</xdr:colOff>
      <xdr:row>19</xdr:row>
      <xdr:rowOff>76200</xdr:rowOff>
    </xdr:from>
    <xdr:to>
      <xdr:col>8</xdr:col>
      <xdr:colOff>76200</xdr:colOff>
      <xdr:row>21</xdr:row>
      <xdr:rowOff>152401</xdr:rowOff>
    </xdr:to>
    <xdr:sp macro="[0]!ResolverSolver" textlink="">
      <xdr:nvSpPr>
        <xdr:cNvPr id="44" name="TextBox 3">
          <a:extLst>
            <a:ext uri="{FF2B5EF4-FFF2-40B4-BE49-F238E27FC236}">
              <a16:creationId xmlns:a16="http://schemas.microsoft.com/office/drawing/2014/main" id="{91B86E94-17D5-C64E-90DF-66E9021E2627}"/>
            </a:ext>
          </a:extLst>
        </xdr:cNvPr>
        <xdr:cNvSpPr txBox="1"/>
      </xdr:nvSpPr>
      <xdr:spPr>
        <a:xfrm>
          <a:off x="7277100" y="4927600"/>
          <a:ext cx="1333500" cy="48260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Resolver</a:t>
          </a:r>
          <a:r>
            <a:rPr lang="en-US" sz="20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endParaRPr lang="en-US" sz="2000">
            <a:ln>
              <a:solidFill>
                <a:schemeClr val="accent1">
                  <a:lumMod val="75000"/>
                </a:schemeClr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4</xdr:col>
      <xdr:colOff>342900</xdr:colOff>
      <xdr:row>3</xdr:row>
      <xdr:rowOff>177800</xdr:rowOff>
    </xdr:from>
    <xdr:to>
      <xdr:col>4</xdr:col>
      <xdr:colOff>698500</xdr:colOff>
      <xdr:row>5</xdr:row>
      <xdr:rowOff>127000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304237C0-C706-6349-BEC7-EE0AD2BFE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89400" y="787400"/>
          <a:ext cx="355600" cy="355600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2</xdr:row>
      <xdr:rowOff>93498</xdr:rowOff>
    </xdr:from>
    <xdr:to>
      <xdr:col>9</xdr:col>
      <xdr:colOff>492054</xdr:colOff>
      <xdr:row>4</xdr:row>
      <xdr:rowOff>50800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9435A791-C38B-AC4E-9481-B6D781D53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71100" y="499898"/>
          <a:ext cx="453954" cy="3637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5</xdr:row>
      <xdr:rowOff>114300</xdr:rowOff>
    </xdr:from>
    <xdr:to>
      <xdr:col>5</xdr:col>
      <xdr:colOff>139700</xdr:colOff>
      <xdr:row>7</xdr:row>
      <xdr:rowOff>12700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DB8B07-ED78-7A42-A55A-10C99506E7AB}"/>
            </a:ext>
          </a:extLst>
        </xdr:cNvPr>
        <xdr:cNvSpPr txBox="1"/>
      </xdr:nvSpPr>
      <xdr:spPr>
        <a:xfrm>
          <a:off x="1993900" y="1066800"/>
          <a:ext cx="2273300" cy="279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ysClr val="windowText" lastClr="000000"/>
              </a:solidFill>
            </a:rPr>
            <a:t>Resultados de la ecuación:</a:t>
          </a:r>
        </a:p>
      </xdr:txBody>
    </xdr:sp>
    <xdr:clientData/>
  </xdr:twoCellAnchor>
  <xdr:twoCellAnchor>
    <xdr:from>
      <xdr:col>2</xdr:col>
      <xdr:colOff>355600</xdr:colOff>
      <xdr:row>10</xdr:row>
      <xdr:rowOff>25400</xdr:rowOff>
    </xdr:from>
    <xdr:to>
      <xdr:col>6</xdr:col>
      <xdr:colOff>736600</xdr:colOff>
      <xdr:row>11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E16DCB3-C8E8-BD4F-A26D-87098D8D909C}"/>
            </a:ext>
          </a:extLst>
        </xdr:cNvPr>
        <xdr:cNvSpPr txBox="1"/>
      </xdr:nvSpPr>
      <xdr:spPr>
        <a:xfrm>
          <a:off x="2006600" y="1930400"/>
          <a:ext cx="3860800" cy="203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Valor de las variables</a:t>
          </a:r>
          <a:r>
            <a:rPr lang="en-US" sz="1200" baseline="0"/>
            <a:t> que conforman la ecuación: </a:t>
          </a:r>
        </a:p>
        <a:p>
          <a:endParaRPr lang="en-US" sz="1100"/>
        </a:p>
      </xdr:txBody>
    </xdr:sp>
    <xdr:clientData/>
  </xdr:twoCellAnchor>
  <xdr:twoCellAnchor>
    <xdr:from>
      <xdr:col>2</xdr:col>
      <xdr:colOff>355600</xdr:colOff>
      <xdr:row>11</xdr:row>
      <xdr:rowOff>76200</xdr:rowOff>
    </xdr:from>
    <xdr:to>
      <xdr:col>5</xdr:col>
      <xdr:colOff>889000</xdr:colOff>
      <xdr:row>12</xdr:row>
      <xdr:rowOff>101600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CD830E-0E53-604E-ADB2-2A18D8561C1A}"/>
            </a:ext>
          </a:extLst>
        </xdr:cNvPr>
        <xdr:cNvSpPr txBox="1"/>
      </xdr:nvSpPr>
      <xdr:spPr>
        <a:xfrm>
          <a:off x="2006600" y="2171700"/>
          <a:ext cx="3009900" cy="215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bg1">
                  <a:lumMod val="50000"/>
                </a:schemeClr>
              </a:solidFill>
            </a:rPr>
            <a:t>El periodo de explotación de la planta es 15 años</a:t>
          </a:r>
        </a:p>
      </xdr:txBody>
    </xdr:sp>
    <xdr:clientData/>
  </xdr:twoCellAnchor>
  <xdr:twoCellAnchor>
    <xdr:from>
      <xdr:col>9</xdr:col>
      <xdr:colOff>431800</xdr:colOff>
      <xdr:row>5</xdr:row>
      <xdr:rowOff>88900</xdr:rowOff>
    </xdr:from>
    <xdr:to>
      <xdr:col>12</xdr:col>
      <xdr:colOff>685800</xdr:colOff>
      <xdr:row>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FB564C7-3398-3742-8960-442C8DB680C8}"/>
            </a:ext>
          </a:extLst>
        </xdr:cNvPr>
        <xdr:cNvSpPr txBox="1"/>
      </xdr:nvSpPr>
      <xdr:spPr>
        <a:xfrm>
          <a:off x="8039100" y="1041400"/>
          <a:ext cx="3746500" cy="292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Ubicación</a:t>
          </a:r>
          <a:r>
            <a:rPr lang="en-US" sz="1200" baseline="0"/>
            <a:t> y tamaño de las instituciones centralizadas:</a:t>
          </a:r>
          <a:endParaRPr lang="en-US" sz="1200"/>
        </a:p>
      </xdr:txBody>
    </xdr:sp>
    <xdr:clientData/>
  </xdr:twoCellAnchor>
  <xdr:twoCellAnchor>
    <xdr:from>
      <xdr:col>9</xdr:col>
      <xdr:colOff>419100</xdr:colOff>
      <xdr:row>12</xdr:row>
      <xdr:rowOff>114300</xdr:rowOff>
    </xdr:from>
    <xdr:to>
      <xdr:col>11</xdr:col>
      <xdr:colOff>863600</xdr:colOff>
      <xdr:row>14</xdr:row>
      <xdr:rowOff>76200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3FCF1209-BF88-5743-8517-AC2EDE49E206}"/>
            </a:ext>
          </a:extLst>
        </xdr:cNvPr>
        <xdr:cNvSpPr txBox="1"/>
      </xdr:nvSpPr>
      <xdr:spPr>
        <a:xfrm>
          <a:off x="8026400" y="2400300"/>
          <a:ext cx="250190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Parametros a cumplir:</a:t>
          </a:r>
          <a:r>
            <a:rPr lang="en-US" sz="1200" baseline="0"/>
            <a:t> </a:t>
          </a:r>
          <a:endParaRPr lang="en-US" sz="1200"/>
        </a:p>
      </xdr:txBody>
    </xdr:sp>
    <xdr:clientData/>
  </xdr:twoCellAnchor>
  <xdr:twoCellAnchor>
    <xdr:from>
      <xdr:col>8</xdr:col>
      <xdr:colOff>762000</xdr:colOff>
      <xdr:row>14</xdr:row>
      <xdr:rowOff>165100</xdr:rowOff>
    </xdr:from>
    <xdr:to>
      <xdr:col>16</xdr:col>
      <xdr:colOff>12700</xdr:colOff>
      <xdr:row>16</xdr:row>
      <xdr:rowOff>25400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7EA1942-62E7-D645-99D3-3A3623BA2CD6}"/>
            </a:ext>
          </a:extLst>
        </xdr:cNvPr>
        <xdr:cNvSpPr txBox="1"/>
      </xdr:nvSpPr>
      <xdr:spPr>
        <a:xfrm>
          <a:off x="7543800" y="2832100"/>
          <a:ext cx="82677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C000"/>
              </a:solidFill>
            </a:rPr>
            <a:t>Transporte:</a:t>
          </a:r>
          <a:r>
            <a:rPr lang="en-US" sz="1100" baseline="0">
              <a:solidFill>
                <a:srgbClr val="FFC000"/>
              </a:solidFill>
            </a:rPr>
            <a:t> (parametros con respecto al transporte de la cantidad de lodo o residuos de los clusters a las instituciones centralizadas 1 o 2) </a:t>
          </a:r>
        </a:p>
        <a:p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8</xdr:col>
      <xdr:colOff>723900</xdr:colOff>
      <xdr:row>24</xdr:row>
      <xdr:rowOff>50800</xdr:rowOff>
    </xdr:from>
    <xdr:to>
      <xdr:col>13</xdr:col>
      <xdr:colOff>457200</xdr:colOff>
      <xdr:row>25</xdr:row>
      <xdr:rowOff>177800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E401DB2-0883-964D-9BC0-35240345F071}"/>
            </a:ext>
          </a:extLst>
        </xdr:cNvPr>
        <xdr:cNvSpPr txBox="1"/>
      </xdr:nvSpPr>
      <xdr:spPr>
        <a:xfrm>
          <a:off x="7505700" y="4622800"/>
          <a:ext cx="5956300" cy="317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C000"/>
              </a:solidFill>
            </a:rPr>
            <a:t>Planta:</a:t>
          </a:r>
          <a:r>
            <a:rPr lang="en-US" sz="1100" baseline="0">
              <a:solidFill>
                <a:srgbClr val="FFC000"/>
              </a:solidFill>
            </a:rPr>
            <a:t> (parametros con respecto al tratamiento de los residuos o lodos en el reactor )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14</xdr:col>
      <xdr:colOff>635000</xdr:colOff>
      <xdr:row>1</xdr:row>
      <xdr:rowOff>67128</xdr:rowOff>
    </xdr:from>
    <xdr:to>
      <xdr:col>16</xdr:col>
      <xdr:colOff>453571</xdr:colOff>
      <xdr:row>3</xdr:row>
      <xdr:rowOff>92528</xdr:rowOff>
    </xdr:to>
    <xdr:sp macro="[0]!IraInicio" textlink="">
      <xdr:nvSpPr>
        <xdr:cNvPr id="14" name="TextBox 3">
          <a:extLst>
            <a:ext uri="{FF2B5EF4-FFF2-40B4-BE49-F238E27FC236}">
              <a16:creationId xmlns:a16="http://schemas.microsoft.com/office/drawing/2014/main" id="{4C63F595-99BB-9A45-9C28-355E151016E0}"/>
            </a:ext>
          </a:extLst>
        </xdr:cNvPr>
        <xdr:cNvSpPr txBox="1"/>
      </xdr:nvSpPr>
      <xdr:spPr>
        <a:xfrm>
          <a:off x="15040429" y="248557"/>
          <a:ext cx="1451428" cy="38825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Volver</a:t>
          </a:r>
          <a:r>
            <a:rPr lang="en-US" sz="1600" b="1" baseline="0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Inicio</a:t>
          </a:r>
          <a:r>
            <a:rPr lang="en-US" sz="1600" b="1">
              <a:ln>
                <a:solidFill>
                  <a:schemeClr val="accent1">
                    <a:lumMod val="75000"/>
                  </a:schemeClr>
                </a:solidFill>
              </a:ln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14</xdr:col>
      <xdr:colOff>644071</xdr:colOff>
      <xdr:row>4</xdr:row>
      <xdr:rowOff>7259</xdr:rowOff>
    </xdr:from>
    <xdr:to>
      <xdr:col>16</xdr:col>
      <xdr:colOff>453117</xdr:colOff>
      <xdr:row>6</xdr:row>
      <xdr:rowOff>19958</xdr:rowOff>
    </xdr:to>
    <xdr:sp macro="[0]!IraHerramienta" textlink="">
      <xdr:nvSpPr>
        <xdr:cNvPr id="15" name="TextBox 3">
          <a:extLst>
            <a:ext uri="{FF2B5EF4-FFF2-40B4-BE49-F238E27FC236}">
              <a16:creationId xmlns:a16="http://schemas.microsoft.com/office/drawing/2014/main" id="{9BDF3482-9005-0E47-976E-F1F1586266B5}"/>
            </a:ext>
          </a:extLst>
        </xdr:cNvPr>
        <xdr:cNvSpPr txBox="1"/>
      </xdr:nvSpPr>
      <xdr:spPr>
        <a:xfrm>
          <a:off x="15049500" y="732973"/>
          <a:ext cx="1441903" cy="37555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n w="10160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Herramienta</a:t>
          </a:r>
          <a:r>
            <a:rPr lang="en-US" sz="1600">
              <a:ln>
                <a:solidFill>
                  <a:schemeClr val="accent1">
                    <a:lumMod val="75000"/>
                  </a:schemeClr>
                </a:solidFill>
              </a:ln>
            </a:rPr>
            <a:t> </a:t>
          </a:r>
        </a:p>
      </xdr:txBody>
    </xdr:sp>
    <xdr:clientData/>
  </xdr:twoCellAnchor>
  <xdr:twoCellAnchor>
    <xdr:from>
      <xdr:col>2</xdr:col>
      <xdr:colOff>254000</xdr:colOff>
      <xdr:row>22</xdr:row>
      <xdr:rowOff>101600</xdr:rowOff>
    </xdr:from>
    <xdr:to>
      <xdr:col>5</xdr:col>
      <xdr:colOff>685800</xdr:colOff>
      <xdr:row>24</xdr:row>
      <xdr:rowOff>25400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39EE873-2D65-1A46-92B6-362EAC869C58}"/>
            </a:ext>
          </a:extLst>
        </xdr:cNvPr>
        <xdr:cNvSpPr txBox="1"/>
      </xdr:nvSpPr>
      <xdr:spPr>
        <a:xfrm>
          <a:off x="1905000" y="4292600"/>
          <a:ext cx="2908300" cy="304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Ubicaciones</a:t>
          </a:r>
          <a:r>
            <a:rPr lang="en-US" sz="1200" baseline="0"/>
            <a:t> de los clusters: </a:t>
          </a:r>
          <a:endParaRPr lang="en-US" sz="1200"/>
        </a:p>
      </xdr:txBody>
    </xdr:sp>
    <xdr:clientData/>
  </xdr:twoCellAnchor>
  <xdr:twoCellAnchor>
    <xdr:from>
      <xdr:col>6</xdr:col>
      <xdr:colOff>711200</xdr:colOff>
      <xdr:row>0</xdr:row>
      <xdr:rowOff>12700</xdr:rowOff>
    </xdr:from>
    <xdr:to>
      <xdr:col>11</xdr:col>
      <xdr:colOff>25400</xdr:colOff>
      <xdr:row>3</xdr:row>
      <xdr:rowOff>38100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B16DBE9-DD00-374C-B663-27C47F3A4D3E}"/>
            </a:ext>
          </a:extLst>
        </xdr:cNvPr>
        <xdr:cNvSpPr txBox="1"/>
      </xdr:nvSpPr>
      <xdr:spPr>
        <a:xfrm>
          <a:off x="6045200" y="12700"/>
          <a:ext cx="3848100" cy="596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</a:rPr>
            <a:t>Resultados</a:t>
          </a:r>
          <a:r>
            <a:rPr lang="en-US" sz="2800" b="1" dirty="0">
              <a:ln w="10160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+mn-lt"/>
              <a:cs typeface="Abadi" panose="020F0502020204030204" pitchFamily="34" charset="0"/>
            </a:rPr>
            <a:t>: </a:t>
          </a:r>
        </a:p>
        <a:p>
          <a:endParaRPr lang="en-US" sz="1100"/>
        </a:p>
      </xdr:txBody>
    </xdr:sp>
    <xdr:clientData/>
  </xdr:twoCellAnchor>
  <xdr:twoCellAnchor>
    <xdr:from>
      <xdr:col>1</xdr:col>
      <xdr:colOff>152400</xdr:colOff>
      <xdr:row>0</xdr:row>
      <xdr:rowOff>127000</xdr:rowOff>
    </xdr:from>
    <xdr:to>
      <xdr:col>6</xdr:col>
      <xdr:colOff>673100</xdr:colOff>
      <xdr:row>2</xdr:row>
      <xdr:rowOff>6350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D07E5208-E6C0-C146-A561-88F44A1BF7C0}"/>
            </a:ext>
          </a:extLst>
        </xdr:cNvPr>
        <xdr:cNvSpPr txBox="1"/>
      </xdr:nvSpPr>
      <xdr:spPr>
        <a:xfrm>
          <a:off x="908050" y="127000"/>
          <a:ext cx="464820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1">
                  <a:lumMod val="75000"/>
                </a:schemeClr>
              </a:solidFill>
            </a:rPr>
            <a:t>Antes</a:t>
          </a:r>
          <a:r>
            <a:rPr lang="en-US" sz="1100" baseline="0">
              <a:solidFill>
                <a:schemeClr val="accent1">
                  <a:lumMod val="75000"/>
                </a:schemeClr>
              </a:solidFill>
            </a:rPr>
            <a:t> que ver los resultados, chequeé que el solver ha encontrado solución </a:t>
          </a:r>
          <a:endParaRPr lang="en-US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38100</xdr:colOff>
      <xdr:row>0</xdr:row>
      <xdr:rowOff>152400</xdr:rowOff>
    </xdr:from>
    <xdr:to>
      <xdr:col>1</xdr:col>
      <xdr:colOff>190500</xdr:colOff>
      <xdr:row>1</xdr:row>
      <xdr:rowOff>114300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83885673-FFD4-9546-A85E-8A8AFA8D1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3600" y="152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127001</xdr:colOff>
      <xdr:row>12</xdr:row>
      <xdr:rowOff>88900</xdr:rowOff>
    </xdr:from>
    <xdr:to>
      <xdr:col>9</xdr:col>
      <xdr:colOff>410421</xdr:colOff>
      <xdr:row>13</xdr:row>
      <xdr:rowOff>177800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AFD2E67-DF34-E846-A114-B269BE3B6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34301" y="2374900"/>
          <a:ext cx="283420" cy="279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444501</xdr:colOff>
      <xdr:row>5</xdr:row>
      <xdr:rowOff>88900</xdr:rowOff>
    </xdr:from>
    <xdr:to>
      <xdr:col>12</xdr:col>
      <xdr:colOff>691257</xdr:colOff>
      <xdr:row>6</xdr:row>
      <xdr:rowOff>126999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055872A-67FF-834A-A862-A1CADF635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44301" y="1041400"/>
          <a:ext cx="246756" cy="228599"/>
        </a:xfrm>
        <a:prstGeom prst="rect">
          <a:avLst/>
        </a:prstGeom>
      </xdr:spPr>
    </xdr:pic>
    <xdr:clientData/>
  </xdr:twoCellAnchor>
  <xdr:twoCellAnchor editAs="oneCell">
    <xdr:from>
      <xdr:col>2</xdr:col>
      <xdr:colOff>556079</xdr:colOff>
      <xdr:row>1</xdr:row>
      <xdr:rowOff>163286</xdr:rowOff>
    </xdr:from>
    <xdr:to>
      <xdr:col>2</xdr:col>
      <xdr:colOff>689429</xdr:colOff>
      <xdr:row>2</xdr:row>
      <xdr:rowOff>157542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5D4DA45-D80F-A641-BE79-14CBFEEE8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61936" y="344715"/>
          <a:ext cx="133350" cy="175684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22</xdr:row>
      <xdr:rowOff>127000</xdr:rowOff>
    </xdr:from>
    <xdr:to>
      <xdr:col>2</xdr:col>
      <xdr:colOff>215900</xdr:colOff>
      <xdr:row>23</xdr:row>
      <xdr:rowOff>139700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2BE139-D3F4-264C-BC01-D8DD95410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63700" y="43180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5</xdr:row>
      <xdr:rowOff>63500</xdr:rowOff>
    </xdr:from>
    <xdr:to>
      <xdr:col>9</xdr:col>
      <xdr:colOff>433797</xdr:colOff>
      <xdr:row>7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12CF48E-B73F-3743-B41F-3A1D54C68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32700" y="1016000"/>
          <a:ext cx="408397" cy="31750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5</xdr:row>
      <xdr:rowOff>73498</xdr:rowOff>
    </xdr:from>
    <xdr:to>
      <xdr:col>2</xdr:col>
      <xdr:colOff>279400</xdr:colOff>
      <xdr:row>7</xdr:row>
      <xdr:rowOff>25399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F764E8A-BFA2-2047-8D87-C5D4F944B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51001" y="1025998"/>
          <a:ext cx="279399" cy="3329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A316F-FD0E-9044-A531-8023F4396D1F}">
  <sheetPr codeName="Sheet1"/>
  <dimension ref="C10:G22"/>
  <sheetViews>
    <sheetView zoomScale="80" zoomScaleNormal="80" workbookViewId="0">
      <selection activeCell="T10" sqref="T10"/>
    </sheetView>
  </sheetViews>
  <sheetFormatPr defaultColWidth="10.81640625" defaultRowHeight="15.5"/>
  <cols>
    <col min="1" max="16384" width="10.81640625" style="1"/>
  </cols>
  <sheetData>
    <row r="10" spans="3:7" ht="21">
      <c r="C10" s="97"/>
      <c r="D10" s="97"/>
      <c r="E10" s="97"/>
    </row>
    <row r="14" spans="3:7" ht="21">
      <c r="C14" s="97"/>
      <c r="D14" s="97"/>
      <c r="E14" s="97"/>
    </row>
    <row r="16" spans="3:7">
      <c r="G16" s="2"/>
    </row>
    <row r="22" spans="3:5" ht="21">
      <c r="C22" s="97"/>
      <c r="D22" s="97"/>
      <c r="E22" s="97"/>
    </row>
  </sheetData>
  <mergeCells count="3">
    <mergeCell ref="C10:E10"/>
    <mergeCell ref="C14:E14"/>
    <mergeCell ref="C22:E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B9B2-10B4-4D48-A83B-34DC4A727412}">
  <sheetPr codeName="Sheet3"/>
  <dimension ref="B7:M22"/>
  <sheetViews>
    <sheetView zoomScale="70" zoomScaleNormal="70" workbookViewId="0">
      <selection activeCell="N22" sqref="N22"/>
    </sheetView>
  </sheetViews>
  <sheetFormatPr defaultColWidth="10.81640625" defaultRowHeight="15.5"/>
  <cols>
    <col min="1" max="16384" width="10.81640625" style="1"/>
  </cols>
  <sheetData>
    <row r="7" spans="2:13" ht="21">
      <c r="B7" s="98" t="s">
        <v>138</v>
      </c>
      <c r="C7" s="98"/>
      <c r="D7" s="98"/>
      <c r="E7" s="3"/>
      <c r="F7" s="3"/>
      <c r="I7" s="100" t="s">
        <v>150</v>
      </c>
      <c r="J7" s="100"/>
      <c r="K7" s="100"/>
      <c r="L7" s="100"/>
      <c r="M7" s="100"/>
    </row>
    <row r="21" spans="2:11" ht="21">
      <c r="B21" s="3"/>
      <c r="C21" s="3"/>
      <c r="D21" s="3"/>
    </row>
    <row r="22" spans="2:11" ht="21">
      <c r="B22" s="99" t="s">
        <v>113</v>
      </c>
      <c r="C22" s="99"/>
      <c r="D22" s="99"/>
      <c r="I22" s="98" t="s">
        <v>137</v>
      </c>
      <c r="J22" s="98"/>
      <c r="K22" s="98"/>
    </row>
  </sheetData>
  <mergeCells count="4">
    <mergeCell ref="B7:D7"/>
    <mergeCell ref="B22:D22"/>
    <mergeCell ref="I22:K22"/>
    <mergeCell ref="I7:M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8704D-47AB-6A43-BFB9-BB9B2E507E83}">
  <sheetPr codeName="Sheet5"/>
  <dimension ref="A8:J25"/>
  <sheetViews>
    <sheetView zoomScale="80" zoomScaleNormal="80" workbookViewId="0">
      <selection activeCell="B25" sqref="B25"/>
    </sheetView>
  </sheetViews>
  <sheetFormatPr defaultColWidth="10.81640625" defaultRowHeight="15.5"/>
  <cols>
    <col min="1" max="1" width="13.36328125" style="4" customWidth="1"/>
    <col min="2" max="3" width="10.81640625" style="4"/>
    <col min="4" max="4" width="14.1796875" style="4" customWidth="1"/>
    <col min="5" max="5" width="12.6328125" style="4" customWidth="1"/>
    <col min="6" max="6" width="18.453125" style="4" customWidth="1"/>
    <col min="7" max="7" width="14.6328125" style="4" customWidth="1"/>
    <col min="8" max="8" width="17" style="4" customWidth="1"/>
    <col min="9" max="9" width="19.6328125" style="4" customWidth="1"/>
    <col min="10" max="10" width="20.36328125" style="4" customWidth="1"/>
    <col min="11" max="16384" width="10.81640625" style="4"/>
  </cols>
  <sheetData>
    <row r="8" spans="2:10">
      <c r="C8" s="5"/>
      <c r="D8" s="6"/>
      <c r="F8" s="7"/>
      <c r="G8" s="8"/>
    </row>
    <row r="9" spans="2:10" ht="46.5">
      <c r="C9" s="5" t="s">
        <v>115</v>
      </c>
      <c r="D9" s="35">
        <v>16716.5</v>
      </c>
      <c r="F9" s="7" t="s">
        <v>116</v>
      </c>
      <c r="G9" s="36">
        <v>25000</v>
      </c>
    </row>
    <row r="10" spans="2:10">
      <c r="C10" s="9"/>
      <c r="D10" s="6"/>
    </row>
    <row r="12" spans="2:10">
      <c r="J12" s="49"/>
    </row>
    <row r="14" spans="2:10" ht="59" customHeight="1">
      <c r="C14" s="10" t="s">
        <v>114</v>
      </c>
      <c r="D14" s="11" t="s">
        <v>19</v>
      </c>
      <c r="E14" s="11" t="s">
        <v>20</v>
      </c>
      <c r="F14" s="12" t="s">
        <v>117</v>
      </c>
      <c r="G14" s="12" t="s">
        <v>118</v>
      </c>
      <c r="H14" s="12" t="s">
        <v>119</v>
      </c>
      <c r="I14" s="13"/>
      <c r="J14" s="13"/>
    </row>
    <row r="15" spans="2:10">
      <c r="B15" s="14"/>
      <c r="C15" s="29" t="s">
        <v>120</v>
      </c>
      <c r="D15" s="30">
        <v>38.893836790000002</v>
      </c>
      <c r="E15" s="30">
        <v>-6.9127207100000003</v>
      </c>
      <c r="F15" s="15">
        <v>54915.1</v>
      </c>
      <c r="G15" s="16">
        <v>19570.5</v>
      </c>
      <c r="H15" s="17">
        <v>945.7</v>
      </c>
      <c r="I15" s="13"/>
      <c r="J15" s="13"/>
    </row>
    <row r="16" spans="2:10">
      <c r="C16" s="29" t="s">
        <v>121</v>
      </c>
      <c r="D16" s="31">
        <v>38.299554129999997</v>
      </c>
      <c r="E16" s="30">
        <v>-6.6308466700000004</v>
      </c>
      <c r="F16" s="18">
        <v>5022</v>
      </c>
      <c r="G16" s="16">
        <v>4792.3</v>
      </c>
      <c r="H16" s="17">
        <v>542.20000000000005</v>
      </c>
      <c r="I16" s="13"/>
      <c r="J16" s="13"/>
    </row>
    <row r="17" spans="1:10">
      <c r="A17" s="19"/>
      <c r="C17" s="32" t="s">
        <v>122</v>
      </c>
      <c r="D17" s="33">
        <v>39.083417439999998</v>
      </c>
      <c r="E17" s="34">
        <v>-5.3507533299999999</v>
      </c>
      <c r="F17" s="20">
        <v>13659.6</v>
      </c>
      <c r="G17" s="21">
        <v>12353.5</v>
      </c>
      <c r="H17" s="22">
        <v>1104.8</v>
      </c>
      <c r="I17" s="13"/>
      <c r="J17" s="13"/>
    </row>
    <row r="18" spans="1:10">
      <c r="C18" s="29" t="s">
        <v>123</v>
      </c>
      <c r="D18" s="30">
        <v>38.521222139999999</v>
      </c>
      <c r="E18" s="30">
        <v>-6.0214333299999998</v>
      </c>
      <c r="F18" s="23">
        <v>78286.95</v>
      </c>
      <c r="G18" s="16">
        <v>73027.600000000006</v>
      </c>
      <c r="H18" s="17">
        <v>2585.6999999999998</v>
      </c>
    </row>
    <row r="19" spans="1:10">
      <c r="A19" s="24"/>
      <c r="C19" s="25"/>
    </row>
    <row r="20" spans="1:10">
      <c r="D20" s="26"/>
      <c r="E20" s="26"/>
    </row>
    <row r="21" spans="1:10">
      <c r="D21" s="27"/>
      <c r="E21" s="26"/>
      <c r="F21" s="26"/>
    </row>
    <row r="22" spans="1:10">
      <c r="D22" s="26"/>
      <c r="E22" s="41"/>
      <c r="F22" s="26"/>
    </row>
    <row r="23" spans="1:10">
      <c r="A23" s="24"/>
      <c r="B23" s="28"/>
    </row>
    <row r="25" spans="1:10">
      <c r="A25" s="24"/>
      <c r="B25" s="28"/>
    </row>
  </sheetData>
  <sheetProtection sheet="1" selectLockedCells="1"/>
  <phoneticPr fontId="4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7BDD-0EC6-9348-87A7-ABFC9BF8880F}">
  <sheetPr codeName="Sheet2"/>
  <dimension ref="A2:AN47"/>
  <sheetViews>
    <sheetView zoomScale="50" zoomScaleNormal="50" workbookViewId="0">
      <selection activeCell="C9" sqref="C9"/>
    </sheetView>
  </sheetViews>
  <sheetFormatPr defaultColWidth="11.453125" defaultRowHeight="14.5"/>
  <cols>
    <col min="1" max="1" width="19.36328125" style="64" customWidth="1"/>
    <col min="2" max="2" width="12.453125" style="64" customWidth="1"/>
    <col min="3" max="3" width="12.1796875" style="64" customWidth="1"/>
    <col min="4" max="4" width="12.81640625" style="64" customWidth="1"/>
    <col min="5" max="5" width="26.453125" style="64" bestFit="1" customWidth="1"/>
    <col min="6" max="6" width="23.453125" style="64" customWidth="1"/>
    <col min="7" max="7" width="15.08984375" style="64" customWidth="1"/>
    <col min="8" max="8" width="18.36328125" style="64" customWidth="1"/>
    <col min="9" max="9" width="33.26953125" style="64" customWidth="1"/>
    <col min="10" max="10" width="13.81640625" style="64" customWidth="1"/>
    <col min="11" max="11" width="12.36328125" style="64" customWidth="1"/>
    <col min="12" max="12" width="14.453125" style="64" customWidth="1"/>
    <col min="13" max="13" width="11.453125" style="64"/>
    <col min="14" max="14" width="10.453125" style="64" customWidth="1"/>
    <col min="15" max="16" width="11.453125" style="64"/>
    <col min="17" max="17" width="12.36328125" style="64" bestFit="1" customWidth="1"/>
    <col min="18" max="18" width="47.08984375" style="64" customWidth="1"/>
    <col min="19" max="19" width="14" style="64" customWidth="1"/>
    <col min="20" max="20" width="13.453125" style="64" customWidth="1"/>
    <col min="21" max="21" width="17" style="64" customWidth="1"/>
    <col min="22" max="22" width="12.36328125" style="64" bestFit="1" customWidth="1"/>
    <col min="23" max="16384" width="11.453125" style="64"/>
  </cols>
  <sheetData>
    <row r="2" spans="1:40">
      <c r="A2" s="63" t="s">
        <v>27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</row>
    <row r="3" spans="1:40">
      <c r="B3" s="64" t="s">
        <v>17</v>
      </c>
      <c r="P3" s="65"/>
      <c r="Q3" s="65"/>
      <c r="R3" s="65"/>
      <c r="S3" s="65"/>
      <c r="T3" s="65"/>
      <c r="U3" s="65"/>
      <c r="V3" s="65"/>
      <c r="AD3" s="65"/>
      <c r="AE3" s="65"/>
      <c r="AF3" s="65"/>
      <c r="AI3" s="65"/>
      <c r="AJ3" s="65"/>
      <c r="AL3" s="65"/>
      <c r="AM3" s="65"/>
      <c r="AN3" s="65"/>
    </row>
    <row r="4" spans="1:40">
      <c r="B4" s="64" t="s">
        <v>18</v>
      </c>
      <c r="P4" s="65"/>
      <c r="Q4" s="65"/>
      <c r="R4" s="65"/>
      <c r="S4" s="65"/>
      <c r="T4" s="65"/>
      <c r="AB4" s="64" t="s">
        <v>90</v>
      </c>
      <c r="AC4" s="65"/>
      <c r="AD4" s="65"/>
      <c r="AE4" s="65"/>
      <c r="AF4" s="65"/>
      <c r="AG4" s="65" t="s">
        <v>91</v>
      </c>
      <c r="AH4" s="65"/>
      <c r="AI4" s="65"/>
      <c r="AJ4" s="65" t="s">
        <v>92</v>
      </c>
      <c r="AL4" s="65"/>
      <c r="AM4" s="65"/>
      <c r="AN4" s="65"/>
    </row>
    <row r="5" spans="1:40">
      <c r="B5" s="64" t="s">
        <v>19</v>
      </c>
      <c r="C5" s="64" t="s">
        <v>20</v>
      </c>
      <c r="D5" s="64" t="s">
        <v>88</v>
      </c>
      <c r="F5" s="64" t="s">
        <v>95</v>
      </c>
      <c r="H5" s="64" t="s">
        <v>96</v>
      </c>
      <c r="J5" s="64" t="s">
        <v>102</v>
      </c>
      <c r="L5" s="64" t="s">
        <v>94</v>
      </c>
      <c r="N5" s="64" t="s">
        <v>28</v>
      </c>
      <c r="P5" s="64" t="s">
        <v>29</v>
      </c>
      <c r="Q5" s="64" t="s">
        <v>31</v>
      </c>
      <c r="T5" s="64" t="s">
        <v>89</v>
      </c>
      <c r="V5" s="64" t="s">
        <v>76</v>
      </c>
      <c r="X5" s="64" t="s">
        <v>32</v>
      </c>
      <c r="Z5" s="64" t="s">
        <v>33</v>
      </c>
      <c r="AB5" s="64" t="s">
        <v>8</v>
      </c>
      <c r="AD5" s="64" t="s">
        <v>9</v>
      </c>
      <c r="AG5" s="64" t="s">
        <v>78</v>
      </c>
      <c r="AH5" s="64" t="s">
        <v>77</v>
      </c>
      <c r="AJ5" s="64" t="s">
        <v>8</v>
      </c>
      <c r="AK5" s="64" t="s">
        <v>9</v>
      </c>
      <c r="AL5" s="64" t="s">
        <v>34</v>
      </c>
    </row>
    <row r="6" spans="1:40">
      <c r="A6" s="64" t="s">
        <v>0</v>
      </c>
      <c r="B6" s="66">
        <f>Herramienta!D15</f>
        <v>38.893836790000002</v>
      </c>
      <c r="C6" s="66">
        <f>Herramienta!E15</f>
        <v>-6.9127207100000003</v>
      </c>
      <c r="D6" s="64">
        <v>1</v>
      </c>
      <c r="E6" s="64">
        <f>ROUND(D6,0)</f>
        <v>1</v>
      </c>
      <c r="F6" s="67">
        <f>Herramienta!F15* 1000</f>
        <v>54915100</v>
      </c>
      <c r="G6" s="64" t="s">
        <v>100</v>
      </c>
      <c r="H6" s="68">
        <f>Herramienta!G15*1000</f>
        <v>19570500</v>
      </c>
      <c r="I6" s="64" t="s">
        <v>101</v>
      </c>
      <c r="J6" s="69">
        <f>Herramienta!H15*1000</f>
        <v>945700</v>
      </c>
      <c r="K6" s="64" t="s">
        <v>103</v>
      </c>
      <c r="L6" s="64" cm="1">
        <f t="array" ref="L6">distVincenty(VLOOKUP(E6,$B$14:$D$15,2),VLOOKUP(E6,$B$14:$D$15,3),B6,C6) / 1000</f>
        <v>5.0000000000000004E-6</v>
      </c>
      <c r="M6" s="64" t="s">
        <v>12</v>
      </c>
      <c r="N6" s="70">
        <f>(H6/T6)</f>
        <v>1194.1233300021545</v>
      </c>
      <c r="O6" s="64" t="s">
        <v>93</v>
      </c>
      <c r="P6" s="71">
        <v>52.910447641664327</v>
      </c>
      <c r="Q6" s="71">
        <v>68.558049076548954</v>
      </c>
      <c r="R6" s="64" t="s">
        <v>30</v>
      </c>
      <c r="T6" s="64">
        <f>$Q$15*Z6</f>
        <v>16389.010672762495</v>
      </c>
      <c r="U6" s="64" t="s">
        <v>74</v>
      </c>
      <c r="V6" s="64">
        <f>X6+$Q$15</f>
        <v>41716.5</v>
      </c>
      <c r="W6" s="64" t="s">
        <v>10</v>
      </c>
      <c r="X6" s="64">
        <f>Herramienta!$G$9</f>
        <v>25000</v>
      </c>
      <c r="Y6" s="64" t="s">
        <v>11</v>
      </c>
      <c r="Z6" s="72">
        <v>0.98040921680749527</v>
      </c>
      <c r="AB6" s="64">
        <f>(-25.745+1*(11.945+4.09*(10^(-4))*V6+6.05*(10^(-4))*T6+0.967*(51.616-(0.812*P6)+(0.00568*(P6^2)))))</f>
        <v>36.921083514928938</v>
      </c>
      <c r="AC6" s="64" t="s">
        <v>35</v>
      </c>
      <c r="AD6" s="64">
        <f>(-25.745+1*(11.945+4.09*(10^(-4))*V6+(6.05*(10^(-4))*0 )+0.967*(51.616-(0.812*Q6)+(0.00568*(Q6^2)))))</f>
        <v>25.1588301120679</v>
      </c>
      <c r="AE6" s="64" t="s">
        <v>36</v>
      </c>
      <c r="AG6" s="64">
        <f>AB6/100</f>
        <v>0.36921083514928937</v>
      </c>
      <c r="AH6" s="64">
        <f>AD6/100</f>
        <v>0.25158830112067898</v>
      </c>
      <c r="AJ6" s="64">
        <f>AG6*L6*N6</f>
        <v>2.20441635970673E-3</v>
      </c>
      <c r="AK6" s="64">
        <f>AH6*N6*L6</f>
        <v>1.50213729961905E-3</v>
      </c>
      <c r="AL6" s="64">
        <f>AJ6+AK6</f>
        <v>3.7065536593257802E-3</v>
      </c>
      <c r="AM6" s="64" t="s">
        <v>37</v>
      </c>
    </row>
    <row r="7" spans="1:40">
      <c r="A7" s="64" t="s">
        <v>1</v>
      </c>
      <c r="B7" s="66">
        <f>Herramienta!D16</f>
        <v>38.299554129999997</v>
      </c>
      <c r="C7" s="66">
        <f>Herramienta!E16</f>
        <v>-6.6308466700000004</v>
      </c>
      <c r="D7" s="64">
        <v>2</v>
      </c>
      <c r="E7" s="64">
        <f t="shared" ref="E7:E8" si="0">ROUND(D7,0)</f>
        <v>2</v>
      </c>
      <c r="F7" s="67">
        <f>Herramienta!F16* 1000</f>
        <v>5022000</v>
      </c>
      <c r="G7" s="64" t="s">
        <v>100</v>
      </c>
      <c r="H7" s="68">
        <f>Herramienta!G16*1000</f>
        <v>4792300</v>
      </c>
      <c r="I7" s="64" t="s">
        <v>101</v>
      </c>
      <c r="J7" s="69">
        <f>Herramienta!H16*1000</f>
        <v>542200</v>
      </c>
      <c r="K7" s="64" t="s">
        <v>103</v>
      </c>
      <c r="L7" s="64" cm="1">
        <f t="array" ref="L7">distVincenty(VLOOKUP(E7,$B$14:$D$15,2),VLOOKUP(E7,$B$14:$D$15,3),B7,C7) / 1000</f>
        <v>58.638916999999999</v>
      </c>
      <c r="M7" s="64" t="s">
        <v>12</v>
      </c>
      <c r="N7" s="70">
        <f>(H7/T7)</f>
        <v>286.68082433523762</v>
      </c>
      <c r="O7" s="64" t="s">
        <v>75</v>
      </c>
      <c r="P7" s="71">
        <v>71.599146291634639</v>
      </c>
      <c r="Q7" s="71">
        <v>71.372956406715488</v>
      </c>
      <c r="R7" s="64" t="s">
        <v>30</v>
      </c>
      <c r="T7" s="64">
        <f>$Q$15*Z7</f>
        <v>16716.5</v>
      </c>
      <c r="U7" s="64" t="s">
        <v>74</v>
      </c>
      <c r="V7" s="64">
        <f>X7+$Q$15</f>
        <v>41716.5</v>
      </c>
      <c r="W7" s="64" t="s">
        <v>10</v>
      </c>
      <c r="X7" s="64">
        <f>Herramienta!$G$9</f>
        <v>25000</v>
      </c>
      <c r="Y7" s="64" t="s">
        <v>11</v>
      </c>
      <c r="Z7" s="72">
        <v>1</v>
      </c>
      <c r="AB7" s="64">
        <f>(-25.745+1*(11.945+4.09*(10^(-4))*V7+6.05*(10^(-4))*T7+0.967*(51.616-(0.812*P7)+(0.00568*(P7^2)))))</f>
        <v>35.225533861665539</v>
      </c>
      <c r="AC7" s="64" t="s">
        <v>35</v>
      </c>
      <c r="AD7" s="64">
        <f t="shared" ref="AD7:AD9" si="1">(-25.745+1*(11.945+4.09*(10^(-4))*V7+(6.05*(10^(-4))*0 )+0.967*(51.616-(0.812*Q7)+(0.00568*(Q7^2)))))</f>
        <v>25.112033526050983</v>
      </c>
      <c r="AE7" s="64" t="s">
        <v>36</v>
      </c>
      <c r="AG7" s="64">
        <f>AB7/100</f>
        <v>0.35225533861665537</v>
      </c>
      <c r="AH7" s="64">
        <f>AD7/100</f>
        <v>0.25112033526050981</v>
      </c>
      <c r="AJ7" s="64">
        <f>AG7*L7*N7</f>
        <v>5921.6422873156789</v>
      </c>
      <c r="AK7" s="64">
        <f>AH7*N7*L7</f>
        <v>4221.4968333008383</v>
      </c>
      <c r="AL7" s="64">
        <f t="shared" ref="AL7:AL9" si="2">AJ7+AK7</f>
        <v>10143.139120616517</v>
      </c>
      <c r="AM7" s="64" t="s">
        <v>37</v>
      </c>
    </row>
    <row r="8" spans="1:40">
      <c r="A8" s="64" t="s">
        <v>6</v>
      </c>
      <c r="B8" s="66">
        <f>Herramienta!D17</f>
        <v>39.083417439999998</v>
      </c>
      <c r="C8" s="66">
        <f>Herramienta!E17</f>
        <v>-5.3507533299999999</v>
      </c>
      <c r="D8" s="64">
        <v>2</v>
      </c>
      <c r="E8" s="64">
        <f t="shared" si="0"/>
        <v>2</v>
      </c>
      <c r="F8" s="67">
        <f>Herramienta!F17* 1000</f>
        <v>13659600</v>
      </c>
      <c r="G8" s="64" t="s">
        <v>100</v>
      </c>
      <c r="H8" s="68">
        <f>Herramienta!G17*1000</f>
        <v>12353500</v>
      </c>
      <c r="I8" s="64" t="s">
        <v>101</v>
      </c>
      <c r="J8" s="69">
        <f>Herramienta!H17*1000</f>
        <v>1104800</v>
      </c>
      <c r="K8" s="64" t="s">
        <v>103</v>
      </c>
      <c r="L8" s="64" cm="1">
        <f t="array" ref="L8">distVincenty(VLOOKUP(E8,$B$14:$D$15,2),VLOOKUP(E8,$B$14:$D$15,3),B8,C8) / 1000</f>
        <v>85.376372000000003</v>
      </c>
      <c r="M8" s="64" t="s">
        <v>12</v>
      </c>
      <c r="N8" s="70">
        <f>(H8/T8)</f>
        <v>739.00038883737625</v>
      </c>
      <c r="O8" s="64" t="s">
        <v>75</v>
      </c>
      <c r="P8" s="71">
        <v>71.470324928575209</v>
      </c>
      <c r="Q8" s="71">
        <v>71.478102795953419</v>
      </c>
      <c r="R8" s="64" t="s">
        <v>30</v>
      </c>
      <c r="T8" s="64">
        <f>$Q$15*Z8</f>
        <v>16716.5</v>
      </c>
      <c r="U8" s="64" t="s">
        <v>74</v>
      </c>
      <c r="V8" s="64">
        <f>X8+$Q$15</f>
        <v>41716.5</v>
      </c>
      <c r="W8" s="64" t="s">
        <v>10</v>
      </c>
      <c r="X8" s="64">
        <f>Herramienta!$G$9</f>
        <v>25000</v>
      </c>
      <c r="Y8" s="64" t="s">
        <v>11</v>
      </c>
      <c r="Z8" s="72">
        <v>1</v>
      </c>
      <c r="AB8" s="64">
        <f>(-25.745+1*(11.945+4.09*(10^(-4))*V8+6.05*(10^(-4))*T8+0.967*(51.616-(0.812*P8)+(0.00568*(P8^2)))))</f>
        <v>35.225454809811936</v>
      </c>
      <c r="AC8" s="64" t="s">
        <v>35</v>
      </c>
      <c r="AD8" s="64">
        <f t="shared" si="1"/>
        <v>25.111971911710992</v>
      </c>
      <c r="AE8" s="64" t="s">
        <v>36</v>
      </c>
      <c r="AG8" s="64">
        <f>AB8/100</f>
        <v>0.35225454809811935</v>
      </c>
      <c r="AH8" s="64">
        <f>AD8/100</f>
        <v>0.2511197191171099</v>
      </c>
      <c r="AJ8" s="64">
        <f>AG8*L8*N8</f>
        <v>22224.856828108397</v>
      </c>
      <c r="AK8" s="64">
        <f>AH8*N8*L8</f>
        <v>15843.939657346782</v>
      </c>
      <c r="AL8" s="64">
        <f t="shared" si="2"/>
        <v>38068.796485455183</v>
      </c>
      <c r="AM8" s="64" t="s">
        <v>37</v>
      </c>
    </row>
    <row r="9" spans="1:40">
      <c r="A9" s="64" t="s">
        <v>7</v>
      </c>
      <c r="B9" s="66">
        <f>Herramienta!D18</f>
        <v>38.521222139999999</v>
      </c>
      <c r="C9" s="66">
        <f>Herramienta!E18</f>
        <v>-6.0214333299999998</v>
      </c>
      <c r="D9" s="64">
        <v>2</v>
      </c>
      <c r="E9" s="64">
        <f>ROUND(D9,0)</f>
        <v>2</v>
      </c>
      <c r="F9" s="67">
        <f>Herramienta!F18* 1000</f>
        <v>78286950</v>
      </c>
      <c r="G9" s="64" t="s">
        <v>100</v>
      </c>
      <c r="H9" s="68">
        <f>Herramienta!G18*1000</f>
        <v>73027600</v>
      </c>
      <c r="I9" s="64" t="s">
        <v>101</v>
      </c>
      <c r="J9" s="69">
        <f>Herramienta!H18*1000</f>
        <v>2585700</v>
      </c>
      <c r="K9" s="64" t="s">
        <v>103</v>
      </c>
      <c r="L9" s="64" cm="1">
        <f t="array" ref="L9">distVincenty(VLOOKUP(E9,$B$14:$D$15,2),VLOOKUP(E9,$B$14:$D$15,3),B9,C9) / 1000</f>
        <v>3.6299999999999999E-4</v>
      </c>
      <c r="M9" s="64" t="s">
        <v>12</v>
      </c>
      <c r="N9" s="70">
        <f>(H9/T9)</f>
        <v>7740.5902502010631</v>
      </c>
      <c r="O9" s="64" t="s">
        <v>75</v>
      </c>
      <c r="P9" s="71">
        <v>57.905455300314387</v>
      </c>
      <c r="Q9" s="71">
        <v>51.153225838968481</v>
      </c>
      <c r="R9" s="64" t="s">
        <v>30</v>
      </c>
      <c r="T9" s="64">
        <f>$Q$15*Z9</f>
        <v>9434.3709768261015</v>
      </c>
      <c r="U9" s="64" t="s">
        <v>74</v>
      </c>
      <c r="V9" s="64">
        <f t="shared" ref="V9" si="3">X9+$Q$15</f>
        <v>41716.5</v>
      </c>
      <c r="W9" s="64" t="s">
        <v>10</v>
      </c>
      <c r="X9" s="64">
        <f>Herramienta!$G$9</f>
        <v>25000</v>
      </c>
      <c r="Y9" s="64" t="s">
        <v>11</v>
      </c>
      <c r="Z9" s="72">
        <v>0.56437477802327651</v>
      </c>
      <c r="AB9" s="64">
        <f>(-25.745+1*(11.945+4.09*(10^(-4))*V9+6.05*(10^(-4))*T9+0.967*(51.616-(0.812*P9)+(0.00568*(P9^2)))))</f>
        <v>31.831702831157305</v>
      </c>
      <c r="AC9" s="64" t="s">
        <v>35</v>
      </c>
      <c r="AD9" s="64">
        <f t="shared" si="1"/>
        <v>27.381123889165234</v>
      </c>
      <c r="AE9" s="64" t="s">
        <v>36</v>
      </c>
      <c r="AG9" s="64">
        <f>AB9/100</f>
        <v>0.31831702831157305</v>
      </c>
      <c r="AH9" s="64">
        <f>AD9/100</f>
        <v>0.27381123889165232</v>
      </c>
      <c r="AJ9" s="64">
        <f>AG9*L9*N9</f>
        <v>0.89441809195321831</v>
      </c>
      <c r="AK9" s="64">
        <f>AH9*N9*L9</f>
        <v>0.76936420003615191</v>
      </c>
      <c r="AL9" s="64">
        <f t="shared" si="2"/>
        <v>1.6637822919893703</v>
      </c>
      <c r="AM9" s="64" t="s">
        <v>37</v>
      </c>
    </row>
    <row r="10" spans="1:40">
      <c r="F10" s="73">
        <f>SUM(F6:F9)</f>
        <v>151883650</v>
      </c>
      <c r="G10" s="64" t="s">
        <v>14</v>
      </c>
      <c r="H10" s="74">
        <f>SUM(H6:H9)</f>
        <v>109743900</v>
      </c>
      <c r="I10" s="64" t="s">
        <v>14</v>
      </c>
      <c r="J10" s="75">
        <f>SUM(J6:J9)</f>
        <v>5178400</v>
      </c>
      <c r="K10" s="64" t="s">
        <v>14</v>
      </c>
      <c r="L10" s="76">
        <f>SUM(L6:L9)</f>
        <v>144.015657</v>
      </c>
      <c r="M10" s="64" t="s">
        <v>14</v>
      </c>
      <c r="N10" s="76">
        <f>SUM(N6:N9)</f>
        <v>9960.3947933758318</v>
      </c>
      <c r="O10" s="64" t="s">
        <v>14</v>
      </c>
    </row>
    <row r="12" spans="1:40">
      <c r="A12" s="64" t="s">
        <v>48</v>
      </c>
      <c r="J12" s="64" t="s">
        <v>21</v>
      </c>
      <c r="P12" s="64" t="s">
        <v>38</v>
      </c>
      <c r="V12" s="64" t="s">
        <v>2</v>
      </c>
      <c r="W12" s="64" t="s">
        <v>73</v>
      </c>
    </row>
    <row r="13" spans="1:40">
      <c r="C13" s="64" t="s">
        <v>49</v>
      </c>
      <c r="D13" s="64" t="s">
        <v>50</v>
      </c>
      <c r="E13" s="64" t="s">
        <v>104</v>
      </c>
      <c r="F13" s="64" t="s">
        <v>97</v>
      </c>
      <c r="I13" s="64" t="s">
        <v>23</v>
      </c>
      <c r="J13" s="64">
        <v>1.4</v>
      </c>
      <c r="K13" s="64" t="s">
        <v>24</v>
      </c>
      <c r="P13" s="64" t="s">
        <v>39</v>
      </c>
      <c r="Q13" s="64">
        <v>40</v>
      </c>
      <c r="R13" s="64" t="s">
        <v>30</v>
      </c>
      <c r="U13" s="64" t="s">
        <v>4</v>
      </c>
      <c r="V13" s="64">
        <f>MIN(B6:B9)</f>
        <v>38.299554129999997</v>
      </c>
      <c r="W13" s="64">
        <f>MIN(C6:C9)</f>
        <v>-6.9127207100000003</v>
      </c>
    </row>
    <row r="14" spans="1:40">
      <c r="A14" s="77" t="s">
        <v>51</v>
      </c>
      <c r="B14" s="64">
        <v>1</v>
      </c>
      <c r="C14" s="71">
        <v>38.893836748390328</v>
      </c>
      <c r="D14" s="71">
        <v>-6.9127207100000003</v>
      </c>
      <c r="E14" s="78">
        <f>SUMIF($E$6:$E$9,"=" &amp; B14,$F$6:F9)/$F$10</f>
        <v>0.36156031277889356</v>
      </c>
      <c r="F14" s="79">
        <f>SUMIF($E$6:$E$9,"=" &amp; B14,$J$6:$J$9)/$J$10</f>
        <v>0.18262397651784334</v>
      </c>
      <c r="I14" s="64" t="s">
        <v>22</v>
      </c>
      <c r="J14" s="64">
        <v>1</v>
      </c>
      <c r="K14" s="64" t="s">
        <v>24</v>
      </c>
      <c r="P14" s="64" t="s">
        <v>40</v>
      </c>
      <c r="Q14" s="64">
        <v>80</v>
      </c>
      <c r="R14" s="64" t="s">
        <v>30</v>
      </c>
      <c r="U14" s="64" t="s">
        <v>5</v>
      </c>
      <c r="V14" s="64">
        <f>MAX(B6:B9)</f>
        <v>39.083417439999998</v>
      </c>
      <c r="W14" s="64">
        <f>MAX(C6:C9)</f>
        <v>-5.3507533299999999</v>
      </c>
    </row>
    <row r="15" spans="1:40">
      <c r="A15" s="80" t="s">
        <v>52</v>
      </c>
      <c r="B15" s="64">
        <v>2</v>
      </c>
      <c r="C15" s="71">
        <v>38.521225371999229</v>
      </c>
      <c r="D15" s="71">
        <v>-6.0214339999339259</v>
      </c>
      <c r="E15" s="78">
        <f>SUMIF($E$6:$E$9,"=" &amp; B15,$F$6:F10)/$F$10</f>
        <v>0.63843968722110644</v>
      </c>
      <c r="F15" s="79">
        <f>SUMIF($E$6:$E$9,"=" &amp; B15,$J$6:$J$9)/$J$10</f>
        <v>0.81737602348215666</v>
      </c>
      <c r="I15" s="64" t="s">
        <v>26</v>
      </c>
      <c r="J15" s="81">
        <v>0.16</v>
      </c>
      <c r="P15" s="64" t="s">
        <v>41</v>
      </c>
      <c r="Q15" s="64">
        <f>Herramienta!D9</f>
        <v>16716.5</v>
      </c>
      <c r="R15" s="64" t="s">
        <v>11</v>
      </c>
    </row>
    <row r="16" spans="1:40">
      <c r="D16" s="81"/>
      <c r="P16" s="64" t="s">
        <v>42</v>
      </c>
      <c r="Q16" s="81">
        <v>0.1</v>
      </c>
      <c r="R16" s="64" t="s">
        <v>25</v>
      </c>
    </row>
    <row r="17" spans="1:39">
      <c r="E17" s="71">
        <v>-6.0214330902867701</v>
      </c>
      <c r="I17" s="64" t="s">
        <v>112</v>
      </c>
      <c r="J17" s="64">
        <f>1/((J15/J13) + (1-J15)/J14)</f>
        <v>1.0479041916167664</v>
      </c>
    </row>
    <row r="19" spans="1:39">
      <c r="A19" s="82" t="s">
        <v>43</v>
      </c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</row>
    <row r="20" spans="1:39">
      <c r="A20" s="64" t="s">
        <v>108</v>
      </c>
    </row>
    <row r="21" spans="1:39">
      <c r="A21" s="64" t="s">
        <v>98</v>
      </c>
      <c r="B21" s="64">
        <f>SUM(F6:F9)/1000</f>
        <v>151883.65</v>
      </c>
      <c r="C21" s="64" t="s">
        <v>53</v>
      </c>
      <c r="E21" s="83" t="s">
        <v>155</v>
      </c>
      <c r="F21" s="84"/>
      <c r="I21" s="85" t="s">
        <v>85</v>
      </c>
      <c r="J21" s="77"/>
    </row>
    <row r="22" spans="1:39">
      <c r="A22" s="64" t="s">
        <v>99</v>
      </c>
      <c r="B22" s="70">
        <f>J10</f>
        <v>5178400</v>
      </c>
      <c r="C22" s="64" t="s">
        <v>44</v>
      </c>
      <c r="E22" s="84" t="s">
        <v>54</v>
      </c>
      <c r="F22" s="84">
        <f xml:space="preserve"> (B22*B31*F14) * (16/64)</f>
        <v>187775.43758725206</v>
      </c>
      <c r="G22" s="64" t="s">
        <v>57</v>
      </c>
      <c r="I22" s="77" t="s">
        <v>46</v>
      </c>
      <c r="J22" s="77">
        <v>0.6</v>
      </c>
      <c r="R22" s="86" t="s">
        <v>107</v>
      </c>
      <c r="S22" s="87"/>
      <c r="V22" s="88" t="s">
        <v>106</v>
      </c>
      <c r="W22" s="80"/>
    </row>
    <row r="23" spans="1:39">
      <c r="E23" s="84" t="s">
        <v>55</v>
      </c>
      <c r="F23" s="84">
        <v>13.89</v>
      </c>
      <c r="I23" s="77" t="s">
        <v>61</v>
      </c>
      <c r="J23" s="77">
        <v>90</v>
      </c>
      <c r="R23" s="87" t="s">
        <v>54</v>
      </c>
      <c r="S23" s="87">
        <f xml:space="preserve"> (B22*P28*F15) * (16/64)</f>
        <v>877427.63959861803</v>
      </c>
      <c r="T23" s="64" t="s">
        <v>57</v>
      </c>
      <c r="V23" s="80"/>
      <c r="W23" s="80"/>
    </row>
    <row r="24" spans="1:39">
      <c r="A24" s="77" t="s">
        <v>51</v>
      </c>
      <c r="E24" s="84"/>
      <c r="F24" s="84"/>
      <c r="I24" s="77"/>
      <c r="J24" s="77"/>
      <c r="O24" s="80" t="s">
        <v>52</v>
      </c>
      <c r="P24" s="80"/>
      <c r="R24" s="87" t="s">
        <v>55</v>
      </c>
      <c r="S24" s="87">
        <v>13.89</v>
      </c>
      <c r="V24" s="80"/>
      <c r="W24" s="80"/>
    </row>
    <row r="25" spans="1:39">
      <c r="A25" s="77" t="s">
        <v>15</v>
      </c>
      <c r="B25" s="71">
        <v>27.707368890694209</v>
      </c>
      <c r="C25" s="64" t="s">
        <v>45</v>
      </c>
      <c r="E25" s="84" t="s">
        <v>56</v>
      </c>
      <c r="F25" s="84">
        <f>F22*F23</f>
        <v>2608200.8280869313</v>
      </c>
      <c r="I25" s="77" t="s">
        <v>62</v>
      </c>
      <c r="J25" s="77">
        <v>30</v>
      </c>
      <c r="O25" s="80" t="s">
        <v>16</v>
      </c>
      <c r="P25" s="71">
        <v>34.56661955315618</v>
      </c>
      <c r="Q25" s="64" t="s">
        <v>105</v>
      </c>
      <c r="R25" s="87" t="s">
        <v>56</v>
      </c>
      <c r="S25" s="87">
        <f>S23*S24</f>
        <v>12187469.914024806</v>
      </c>
      <c r="V25" s="80" t="s">
        <v>63</v>
      </c>
      <c r="W25" s="80">
        <f>J25+(J23-J25) * P25 ^ (-J22)</f>
        <v>37.160726799044461</v>
      </c>
    </row>
    <row r="26" spans="1:39">
      <c r="A26" s="77" t="s">
        <v>79</v>
      </c>
      <c r="B26" s="77">
        <f>(B21*B25*E14)/365</f>
        <v>4168.6381736146895</v>
      </c>
      <c r="C26" s="64" t="s">
        <v>3</v>
      </c>
      <c r="E26" s="84" t="s">
        <v>59</v>
      </c>
      <c r="F26" s="84">
        <v>1.2999999999999999E-2</v>
      </c>
      <c r="I26" s="77" t="s">
        <v>63</v>
      </c>
      <c r="J26" s="77">
        <f>J25+(J23-J25) * B25 ^ (-J22)</f>
        <v>38.177001515953918</v>
      </c>
      <c r="O26" s="80" t="s">
        <v>80</v>
      </c>
      <c r="P26" s="80">
        <f>(P25*B21*E15)/365</f>
        <v>9183.2191136197343</v>
      </c>
      <c r="Q26" s="64" t="s">
        <v>3</v>
      </c>
      <c r="R26" s="87" t="s">
        <v>59</v>
      </c>
      <c r="S26" s="87">
        <v>1.2999999999999999E-2</v>
      </c>
      <c r="V26" s="80"/>
      <c r="W26" s="80"/>
    </row>
    <row r="27" spans="1:39">
      <c r="A27" s="77" t="s">
        <v>46</v>
      </c>
      <c r="B27" s="77">
        <v>0.15</v>
      </c>
      <c r="E27" s="84" t="s">
        <v>58</v>
      </c>
      <c r="F27" s="84">
        <f>F25*F26</f>
        <v>33906.610765130106</v>
      </c>
      <c r="G27" s="64" t="s">
        <v>60</v>
      </c>
      <c r="I27" s="77" t="s">
        <v>87</v>
      </c>
      <c r="J27" s="77">
        <f>J26*B26</f>
        <v>159146.10587355137</v>
      </c>
      <c r="K27" s="64" t="s">
        <v>64</v>
      </c>
      <c r="O27" s="80" t="s">
        <v>82</v>
      </c>
      <c r="P27" s="80">
        <f>1/(1+EXP(-$B$27*(P25-$B$28)))</f>
        <v>0.97551710378008549</v>
      </c>
      <c r="R27" s="87" t="s">
        <v>58</v>
      </c>
      <c r="S27" s="87">
        <f>S26*S25</f>
        <v>158437.10888232247</v>
      </c>
      <c r="T27" s="64" t="s">
        <v>60</v>
      </c>
      <c r="V27" s="80" t="s">
        <v>86</v>
      </c>
      <c r="W27" s="80">
        <f>W25*P26</f>
        <v>341255.09661698621</v>
      </c>
    </row>
    <row r="28" spans="1:39">
      <c r="A28" s="77" t="s">
        <v>66</v>
      </c>
      <c r="B28" s="77">
        <v>10</v>
      </c>
      <c r="C28" s="64" t="s">
        <v>45</v>
      </c>
      <c r="O28" s="80" t="s">
        <v>83</v>
      </c>
      <c r="P28" s="80">
        <f>P27*B30</f>
        <v>0.82918953821307262</v>
      </c>
    </row>
    <row r="29" spans="1:39">
      <c r="A29" s="77" t="s">
        <v>81</v>
      </c>
      <c r="B29" s="77">
        <f>1/(1+EXP(-$B$27*(B25-$B$28)))</f>
        <v>0.93438629381162819</v>
      </c>
      <c r="R29" s="66"/>
    </row>
    <row r="30" spans="1:39">
      <c r="A30" s="77" t="s">
        <v>47</v>
      </c>
      <c r="B30" s="77">
        <v>0.85</v>
      </c>
    </row>
    <row r="31" spans="1:39">
      <c r="A31" s="77" t="s">
        <v>84</v>
      </c>
      <c r="B31" s="77">
        <f>B29*B30</f>
        <v>0.79422834973988399</v>
      </c>
    </row>
    <row r="35" spans="1:39" ht="21">
      <c r="A35" s="92"/>
      <c r="B35" s="91"/>
      <c r="C35" s="91"/>
      <c r="D35" s="91"/>
      <c r="E35" s="92" t="s">
        <v>65</v>
      </c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</row>
    <row r="37" spans="1:39">
      <c r="F37" s="94" t="s">
        <v>70</v>
      </c>
    </row>
    <row r="38" spans="1:39">
      <c r="A38" s="94" t="s">
        <v>67</v>
      </c>
      <c r="B38" s="64">
        <f>SUM(AL6:AL9)</f>
        <v>48213.603094917344</v>
      </c>
      <c r="C38" s="64" t="s">
        <v>159</v>
      </c>
      <c r="E38" s="83" t="s">
        <v>111</v>
      </c>
      <c r="F38" s="89">
        <f>(B38*B39)/1000</f>
        <v>47.683253460873253</v>
      </c>
      <c r="G38" s="64" t="s">
        <v>158</v>
      </c>
      <c r="I38" s="94" t="s">
        <v>71</v>
      </c>
      <c r="J38" s="64">
        <v>15</v>
      </c>
      <c r="K38" s="64" t="s">
        <v>72</v>
      </c>
    </row>
    <row r="39" spans="1:39">
      <c r="A39" s="94" t="s">
        <v>68</v>
      </c>
      <c r="B39" s="64">
        <v>0.98899999999999999</v>
      </c>
      <c r="E39" s="94"/>
      <c r="F39" s="89"/>
    </row>
    <row r="40" spans="1:39">
      <c r="E40" s="95" t="s">
        <v>153</v>
      </c>
      <c r="F40" s="89">
        <f>F27/1000</f>
        <v>33.906610765130104</v>
      </c>
      <c r="G40" s="64" t="s">
        <v>158</v>
      </c>
      <c r="I40" s="70">
        <f>F40*$J$38</f>
        <v>508.59916147695156</v>
      </c>
    </row>
    <row r="41" spans="1:39">
      <c r="E41" s="95" t="s">
        <v>154</v>
      </c>
      <c r="F41" s="89">
        <f>S27/1000</f>
        <v>158.43710888232246</v>
      </c>
      <c r="G41" s="64" t="s">
        <v>158</v>
      </c>
      <c r="I41" s="70">
        <f t="shared" ref="I41" si="4">F41*$J$38</f>
        <v>2376.5566332348371</v>
      </c>
    </row>
    <row r="42" spans="1:39">
      <c r="E42" s="96" t="s">
        <v>109</v>
      </c>
      <c r="F42" s="89">
        <f>J27/1000</f>
        <v>159.14610587355136</v>
      </c>
      <c r="G42" s="64" t="s">
        <v>151</v>
      </c>
      <c r="I42" s="70"/>
    </row>
    <row r="43" spans="1:39">
      <c r="E43" s="96" t="s">
        <v>110</v>
      </c>
      <c r="F43" s="89">
        <f>W27/1000</f>
        <v>341.25509661698618</v>
      </c>
      <c r="G43" s="64" t="s">
        <v>151</v>
      </c>
      <c r="I43" s="70">
        <f>F38*J38</f>
        <v>715.24880191309876</v>
      </c>
    </row>
    <row r="44" spans="1:39">
      <c r="E44" s="94"/>
      <c r="F44" s="89"/>
    </row>
    <row r="45" spans="1:39" ht="18.5">
      <c r="E45" s="94" t="s">
        <v>69</v>
      </c>
      <c r="F45" s="93">
        <f>(((F38-F40-F41)*J38 + F42 +F43))</f>
        <v>-1669.505790308152</v>
      </c>
      <c r="G45" s="64" t="s">
        <v>160</v>
      </c>
    </row>
    <row r="46" spans="1:39">
      <c r="F46" s="64" t="s">
        <v>13</v>
      </c>
    </row>
    <row r="47" spans="1:39">
      <c r="F47" s="9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E379D-24E9-3E41-AF09-7DBE4E792911}">
  <sheetPr codeName="Sheet6"/>
  <dimension ref="C3:Y30"/>
  <sheetViews>
    <sheetView tabSelected="1" topLeftCell="B1" zoomScale="70" zoomScaleNormal="70" workbookViewId="0">
      <selection activeCell="L14" sqref="L14"/>
    </sheetView>
  </sheetViews>
  <sheetFormatPr defaultColWidth="10.81640625" defaultRowHeight="14.5"/>
  <cols>
    <col min="1" max="3" width="10.81640625" style="37"/>
    <col min="4" max="4" width="11.81640625" style="37" customWidth="1"/>
    <col min="5" max="5" width="12.453125" style="37" customWidth="1"/>
    <col min="6" max="6" width="13.1796875" style="37" bestFit="1" customWidth="1"/>
    <col min="7" max="10" width="10.81640625" style="37"/>
    <col min="11" max="11" width="21.1796875" style="37" customWidth="1"/>
    <col min="12" max="12" width="26.453125" style="37" customWidth="1"/>
    <col min="13" max="13" width="27.1796875" style="37" customWidth="1"/>
    <col min="14" max="14" width="18.453125" style="37" customWidth="1"/>
    <col min="15" max="15" width="12.6328125" style="37" bestFit="1" customWidth="1"/>
    <col min="16" max="16384" width="10.81640625" style="37"/>
  </cols>
  <sheetData>
    <row r="3" spans="3:25">
      <c r="D3" s="57" t="s">
        <v>148</v>
      </c>
      <c r="E3" s="38"/>
      <c r="F3" s="52" t="s">
        <v>149</v>
      </c>
    </row>
    <row r="6" spans="3:25">
      <c r="Y6" s="37">
        <v>69.494723728039389</v>
      </c>
    </row>
    <row r="7" spans="3:25">
      <c r="Y7" s="37">
        <v>71.681552401075862</v>
      </c>
    </row>
    <row r="8" spans="3:25">
      <c r="K8" s="42" t="s">
        <v>126</v>
      </c>
      <c r="L8" s="42" t="s">
        <v>125</v>
      </c>
      <c r="M8" s="42" t="s">
        <v>128</v>
      </c>
      <c r="N8" s="42" t="s">
        <v>129</v>
      </c>
      <c r="O8" s="42" t="s">
        <v>156</v>
      </c>
      <c r="P8" s="42"/>
      <c r="Y8" s="37">
        <v>71.663963061470312</v>
      </c>
    </row>
    <row r="9" spans="3:25">
      <c r="C9" s="102" t="s">
        <v>147</v>
      </c>
      <c r="D9" s="103"/>
      <c r="E9" s="103"/>
      <c r="F9" s="58">
        <v>-1669.505790308152</v>
      </c>
      <c r="G9" s="40" t="s">
        <v>152</v>
      </c>
      <c r="J9" s="39" t="s">
        <v>124</v>
      </c>
      <c r="K9" s="37">
        <v>38.893836748390328</v>
      </c>
      <c r="L9" s="37">
        <v>-6.9127207100000003</v>
      </c>
      <c r="M9" s="43">
        <v>0.36156031277889356</v>
      </c>
      <c r="N9" s="43">
        <v>0.18262397651784334</v>
      </c>
      <c r="O9" s="47">
        <v>4168.6381736146895</v>
      </c>
      <c r="Y9" s="37">
        <v>55.83611051750799</v>
      </c>
    </row>
    <row r="10" spans="3:25">
      <c r="G10" s="40"/>
      <c r="J10" s="44" t="s">
        <v>157</v>
      </c>
      <c r="M10" s="43"/>
      <c r="N10" s="43"/>
    </row>
    <row r="11" spans="3:25">
      <c r="G11" s="40"/>
      <c r="J11" s="39" t="s">
        <v>127</v>
      </c>
      <c r="K11" s="38">
        <v>38.521225371999229</v>
      </c>
      <c r="L11" s="38">
        <v>-6.0214339999339259</v>
      </c>
      <c r="M11" s="61">
        <v>0.63843968722110644</v>
      </c>
      <c r="N11" s="61">
        <v>0.81737602348215666</v>
      </c>
      <c r="O11" s="62">
        <v>9183.2191136197343</v>
      </c>
    </row>
    <row r="12" spans="3:25">
      <c r="G12" s="40"/>
    </row>
    <row r="13" spans="3:25">
      <c r="C13" s="38"/>
      <c r="D13" s="38"/>
      <c r="E13" s="38"/>
      <c r="G13" s="40"/>
    </row>
    <row r="14" spans="3:25">
      <c r="C14" s="101" t="s">
        <v>146</v>
      </c>
      <c r="D14" s="101"/>
      <c r="E14" s="101"/>
      <c r="F14" s="58">
        <v>715.24880191309876</v>
      </c>
      <c r="G14" s="40" t="s">
        <v>152</v>
      </c>
    </row>
    <row r="15" spans="3:25">
      <c r="C15" s="39"/>
      <c r="D15" s="39"/>
      <c r="E15" s="39"/>
      <c r="G15" s="40"/>
      <c r="I15" s="37" t="s">
        <v>13</v>
      </c>
    </row>
    <row r="16" spans="3:25">
      <c r="C16" s="101" t="s">
        <v>145</v>
      </c>
      <c r="D16" s="101"/>
      <c r="E16" s="101"/>
      <c r="F16" s="58">
        <v>508.59916147695156</v>
      </c>
      <c r="G16" s="40" t="s">
        <v>152</v>
      </c>
    </row>
    <row r="17" spans="3:15">
      <c r="C17" s="39"/>
      <c r="D17" s="39"/>
      <c r="E17" s="39"/>
      <c r="G17" s="40"/>
      <c r="K17" s="45" t="s">
        <v>134</v>
      </c>
      <c r="L17" s="45" t="s">
        <v>132</v>
      </c>
      <c r="M17" s="45" t="s">
        <v>133</v>
      </c>
      <c r="N17" s="45" t="s">
        <v>131</v>
      </c>
      <c r="O17" s="42" t="s">
        <v>139</v>
      </c>
    </row>
    <row r="18" spans="3:15">
      <c r="C18" s="101" t="s">
        <v>144</v>
      </c>
      <c r="D18" s="101"/>
      <c r="E18" s="101"/>
      <c r="F18" s="60">
        <v>2376.5566332348371</v>
      </c>
      <c r="G18" s="40" t="s">
        <v>152</v>
      </c>
      <c r="J18" s="39" t="s">
        <v>130</v>
      </c>
      <c r="K18" s="53">
        <v>1</v>
      </c>
      <c r="L18" s="54">
        <v>52.910447641664327</v>
      </c>
      <c r="M18" s="54">
        <v>68.558049076548954</v>
      </c>
      <c r="N18" s="56">
        <v>0.98040921680749527</v>
      </c>
      <c r="O18" s="54">
        <v>1194.1233300021545</v>
      </c>
    </row>
    <row r="19" spans="3:15">
      <c r="C19" s="39"/>
      <c r="D19" s="39"/>
      <c r="E19" s="39"/>
      <c r="G19" s="40"/>
      <c r="J19" s="39"/>
      <c r="K19" s="53"/>
      <c r="L19" s="53"/>
      <c r="M19" s="53"/>
      <c r="N19" s="55"/>
      <c r="O19" s="53"/>
    </row>
    <row r="20" spans="3:15">
      <c r="C20" s="101" t="s">
        <v>143</v>
      </c>
      <c r="D20" s="101"/>
      <c r="E20" s="101"/>
      <c r="F20" s="58">
        <v>159.14610587355136</v>
      </c>
      <c r="G20" s="40" t="s">
        <v>152</v>
      </c>
      <c r="J20" s="39" t="s">
        <v>121</v>
      </c>
      <c r="K20" s="53">
        <v>2</v>
      </c>
      <c r="L20" s="54">
        <v>71.599146291634639</v>
      </c>
      <c r="M20" s="54">
        <v>71.372956406715488</v>
      </c>
      <c r="N20" s="56">
        <v>1</v>
      </c>
      <c r="O20" s="54">
        <v>286.68082433523762</v>
      </c>
    </row>
    <row r="21" spans="3:15">
      <c r="C21" s="39"/>
      <c r="D21" s="39"/>
      <c r="E21" s="39"/>
      <c r="G21" s="40"/>
      <c r="J21" s="39"/>
      <c r="K21" s="53"/>
      <c r="L21" s="53"/>
      <c r="M21" s="53"/>
      <c r="N21" s="55"/>
      <c r="O21" s="53"/>
    </row>
    <row r="22" spans="3:15">
      <c r="C22" s="101" t="s">
        <v>142</v>
      </c>
      <c r="D22" s="101"/>
      <c r="E22" s="101"/>
      <c r="F22" s="60">
        <v>341.25509661698618</v>
      </c>
      <c r="G22" s="40" t="s">
        <v>152</v>
      </c>
      <c r="J22" s="39" t="s">
        <v>122</v>
      </c>
      <c r="K22" s="53">
        <v>2</v>
      </c>
      <c r="L22" s="54">
        <v>71.470324928575209</v>
      </c>
      <c r="M22" s="54">
        <v>71.478102795953419</v>
      </c>
      <c r="N22" s="56">
        <v>1</v>
      </c>
      <c r="O22" s="54">
        <v>739.00038883737625</v>
      </c>
    </row>
    <row r="23" spans="3:15">
      <c r="I23" s="37" t="s">
        <v>13</v>
      </c>
      <c r="J23" s="39"/>
      <c r="K23" s="53"/>
      <c r="L23" s="53"/>
      <c r="M23" s="53"/>
      <c r="N23" s="55"/>
      <c r="O23" s="53"/>
    </row>
    <row r="24" spans="3:15">
      <c r="I24" s="37" t="s">
        <v>13</v>
      </c>
      <c r="J24" s="39" t="s">
        <v>123</v>
      </c>
      <c r="K24" s="53">
        <v>2</v>
      </c>
      <c r="L24" s="54">
        <v>57.905455300314387</v>
      </c>
      <c r="M24" s="54">
        <v>51.153225838968481</v>
      </c>
      <c r="N24" s="56">
        <v>0.56437477802327651</v>
      </c>
      <c r="O24" s="54">
        <v>7740.5902502010631</v>
      </c>
    </row>
    <row r="25" spans="3:15">
      <c r="D25" s="42" t="s">
        <v>141</v>
      </c>
      <c r="E25" s="42" t="s">
        <v>140</v>
      </c>
    </row>
    <row r="26" spans="3:15">
      <c r="C26" s="50">
        <v>1</v>
      </c>
      <c r="D26" s="37">
        <v>38.893836790000002</v>
      </c>
      <c r="E26" s="37">
        <v>-6.9127207100000003</v>
      </c>
    </row>
    <row r="27" spans="3:15">
      <c r="C27" s="51">
        <v>2</v>
      </c>
      <c r="D27" s="37">
        <v>38.299554129999997</v>
      </c>
      <c r="E27" s="37">
        <v>-6.6308466700000004</v>
      </c>
      <c r="K27" s="46" t="s">
        <v>136</v>
      </c>
    </row>
    <row r="28" spans="3:15">
      <c r="C28" s="50">
        <v>3</v>
      </c>
      <c r="D28" s="37">
        <v>39.083417439999998</v>
      </c>
      <c r="E28" s="37">
        <v>-5.3507533299999999</v>
      </c>
      <c r="J28" s="39" t="s">
        <v>135</v>
      </c>
      <c r="K28" s="59">
        <v>27.707368890694209</v>
      </c>
    </row>
    <row r="29" spans="3:15">
      <c r="C29" s="48">
        <v>4</v>
      </c>
      <c r="D29" s="37">
        <v>38.521222139999999</v>
      </c>
      <c r="E29" s="37">
        <v>-6.0214333299999998</v>
      </c>
      <c r="J29" s="39" t="s">
        <v>52</v>
      </c>
      <c r="K29" s="54">
        <v>34.56661955315618</v>
      </c>
    </row>
    <row r="30" spans="3:15">
      <c r="J30" s="39"/>
      <c r="K30" s="47"/>
    </row>
  </sheetData>
  <mergeCells count="6">
    <mergeCell ref="C18:E18"/>
    <mergeCell ref="C20:E20"/>
    <mergeCell ref="C22:E22"/>
    <mergeCell ref="C9:E9"/>
    <mergeCell ref="C14:E14"/>
    <mergeCell ref="C16:E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49</vt:i4>
      </vt:variant>
    </vt:vector>
  </HeadingPairs>
  <TitlesOfParts>
    <vt:vector size="54" baseType="lpstr">
      <vt:lpstr>Inicio</vt:lpstr>
      <vt:lpstr>Introduccion</vt:lpstr>
      <vt:lpstr>Herramienta</vt:lpstr>
      <vt:lpstr>Solver</vt:lpstr>
      <vt:lpstr>Resultados</vt:lpstr>
      <vt:lpstr>CandadP1</vt:lpstr>
      <vt:lpstr>CandadP2</vt:lpstr>
      <vt:lpstr>Capaci1</vt:lpstr>
      <vt:lpstr>Capaci2</vt:lpstr>
      <vt:lpstr>Capaci3</vt:lpstr>
      <vt:lpstr>Capaci4</vt:lpstr>
      <vt:lpstr>CdadDBOP1</vt:lpstr>
      <vt:lpstr>CdadDBOP2</vt:lpstr>
      <vt:lpstr>ConstP1</vt:lpstr>
      <vt:lpstr>ConstP2</vt:lpstr>
      <vt:lpstr>ConsumoComb</vt:lpstr>
      <vt:lpstr>Desti1</vt:lpstr>
      <vt:lpstr>Desti2</vt:lpstr>
      <vt:lpstr>Desti3</vt:lpstr>
      <vt:lpstr>Desti4</vt:lpstr>
      <vt:lpstr>ElecP1</vt:lpstr>
      <vt:lpstr>ElecP2</vt:lpstr>
      <vt:lpstr>HRTreten1</vt:lpstr>
      <vt:lpstr>HRTreten2</vt:lpstr>
      <vt:lpstr>HydrauRT1</vt:lpstr>
      <vt:lpstr>HydrauRT2</vt:lpstr>
      <vt:lpstr>LatC1</vt:lpstr>
      <vt:lpstr>LatC2</vt:lpstr>
      <vt:lpstr>LatC3</vt:lpstr>
      <vt:lpstr>LatC4</vt:lpstr>
      <vt:lpstr>LatP1</vt:lpstr>
      <vt:lpstr>LatP2</vt:lpstr>
      <vt:lpstr>LongC1</vt:lpstr>
      <vt:lpstr>LongC2</vt:lpstr>
      <vt:lpstr>LongC3</vt:lpstr>
      <vt:lpstr>LongC4</vt:lpstr>
      <vt:lpstr>LongP1</vt:lpstr>
      <vt:lpstr>LongP2</vt:lpstr>
      <vt:lpstr>Nviaje1</vt:lpstr>
      <vt:lpstr>Nviaje2</vt:lpstr>
      <vt:lpstr>Nviaje3</vt:lpstr>
      <vt:lpstr>Nviaje4</vt:lpstr>
      <vt:lpstr>SIoNO</vt:lpstr>
      <vt:lpstr>ValorFinal</vt:lpstr>
      <vt:lpstr>VIDA1</vt:lpstr>
      <vt:lpstr>VIDA2</vt:lpstr>
      <vt:lpstr>VIDA3</vt:lpstr>
      <vt:lpstr>VIDA4</vt:lpstr>
      <vt:lpstr>VolP1</vt:lpstr>
      <vt:lpstr>VolP2</vt:lpstr>
      <vt:lpstr>VVuelta1</vt:lpstr>
      <vt:lpstr>VVuelta2</vt:lpstr>
      <vt:lpstr>VVuelta3</vt:lpstr>
      <vt:lpstr>VVuelta4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ion</dc:creator>
  <cp:lastModifiedBy>Leonardo Tammaro</cp:lastModifiedBy>
  <dcterms:created xsi:type="dcterms:W3CDTF">2015-06-05T18:17:20Z</dcterms:created>
  <dcterms:modified xsi:type="dcterms:W3CDTF">2021-09-19T16:29:42Z</dcterms:modified>
</cp:coreProperties>
</file>